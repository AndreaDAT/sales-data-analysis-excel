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ndreaMostra\Desktop\Dahsboards portafolio\"/>
    </mc:Choice>
  </mc:AlternateContent>
  <xr:revisionPtr revIDLastSave="0" documentId="8_{631E9979-78D1-4EB3-84F9-754BC0C0D6EB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SalesData" sheetId="1" r:id="rId1"/>
    <sheet name="Dashboard" sheetId="2" r:id="rId2"/>
    <sheet name="Pivot" sheetId="3" r:id="rId3"/>
  </sheets>
  <definedNames>
    <definedName name="SegmentaciónDeDatos_Family">#N/A</definedName>
    <definedName name="SegmentaciónDeDatos_Mes">#N/A</definedName>
    <definedName name="SegmentaciónDeDatos_Product_Area">#N/A</definedName>
    <definedName name="SegmentaciónDeDatos_Product_Type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/>
  <c r="G147" i="1" a="1"/>
  <c r="G147" i="1" s="1"/>
  <c r="G148" i="1" a="1"/>
  <c r="G148" i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/>
  <c r="G163" i="1" a="1"/>
  <c r="G163" i="1" s="1"/>
  <c r="G164" i="1" a="1"/>
  <c r="G164" i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/>
  <c r="G173" i="1" a="1"/>
  <c r="G173" i="1" s="1"/>
  <c r="G174" i="1" a="1"/>
  <c r="G174" i="1"/>
  <c r="G175" i="1" a="1"/>
  <c r="G175" i="1" s="1"/>
  <c r="G176" i="1" a="1"/>
  <c r="G176" i="1"/>
  <c r="G177" i="1" a="1"/>
  <c r="G177" i="1" s="1"/>
  <c r="G178" i="1" a="1"/>
  <c r="G178" i="1"/>
  <c r="G179" i="1" a="1"/>
  <c r="G179" i="1" s="1"/>
  <c r="G180" i="1" a="1"/>
  <c r="G180" i="1"/>
  <c r="G181" i="1" a="1"/>
  <c r="G181" i="1" s="1"/>
  <c r="G182" i="1" a="1"/>
  <c r="G182" i="1"/>
  <c r="G183" i="1" a="1"/>
  <c r="G183" i="1" s="1"/>
  <c r="G184" i="1" a="1"/>
  <c r="G184" i="1"/>
  <c r="G185" i="1" a="1"/>
  <c r="G185" i="1" s="1"/>
  <c r="G186" i="1" a="1"/>
  <c r="G186" i="1"/>
  <c r="G187" i="1" a="1"/>
  <c r="G187" i="1" s="1"/>
  <c r="G188" i="1" a="1"/>
  <c r="G188" i="1"/>
  <c r="G189" i="1" a="1"/>
  <c r="G189" i="1" s="1"/>
  <c r="G190" i="1" a="1"/>
  <c r="G190" i="1"/>
  <c r="G191" i="1" a="1"/>
  <c r="G191" i="1" s="1"/>
  <c r="G192" i="1" a="1"/>
  <c r="G192" i="1"/>
  <c r="G193" i="1" a="1"/>
  <c r="G193" i="1" s="1"/>
  <c r="G194" i="1" a="1"/>
  <c r="G194" i="1"/>
  <c r="G195" i="1" a="1"/>
  <c r="G195" i="1" s="1"/>
  <c r="G196" i="1" a="1"/>
  <c r="G196" i="1"/>
  <c r="G197" i="1" a="1"/>
  <c r="G197" i="1" s="1"/>
  <c r="G198" i="1" a="1"/>
  <c r="G198" i="1"/>
  <c r="G199" i="1" a="1"/>
  <c r="G199" i="1" s="1"/>
  <c r="G200" i="1" a="1"/>
  <c r="G200" i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/>
  <c r="G207" i="1" a="1"/>
  <c r="G207" i="1" s="1"/>
  <c r="G208" i="1" a="1"/>
  <c r="G208" i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/>
  <c r="G215" i="1" a="1"/>
  <c r="G215" i="1" s="1"/>
  <c r="G216" i="1" a="1"/>
  <c r="G216" i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/>
  <c r="G223" i="1" a="1"/>
  <c r="G223" i="1" s="1"/>
  <c r="G224" i="1" a="1"/>
  <c r="G224" i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/>
  <c r="G231" i="1" a="1"/>
  <c r="G231" i="1" s="1"/>
  <c r="G232" i="1" a="1"/>
  <c r="G232" i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/>
  <c r="G239" i="1" a="1"/>
  <c r="G239" i="1" s="1"/>
  <c r="G240" i="1" a="1"/>
  <c r="G240" i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/>
  <c r="G247" i="1" a="1"/>
  <c r="G247" i="1" s="1"/>
  <c r="G248" i="1" a="1"/>
  <c r="G248" i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/>
  <c r="G255" i="1" a="1"/>
  <c r="G255" i="1" s="1"/>
  <c r="G256" i="1" a="1"/>
  <c r="G256" i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/>
  <c r="G263" i="1" a="1"/>
  <c r="G263" i="1" s="1"/>
  <c r="G264" i="1" a="1"/>
  <c r="G264" i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/>
  <c r="G271" i="1" a="1"/>
  <c r="G271" i="1" s="1"/>
  <c r="G272" i="1" a="1"/>
  <c r="G272" i="1"/>
  <c r="G273" i="1" a="1"/>
  <c r="G273" i="1" s="1"/>
  <c r="G274" i="1" a="1"/>
  <c r="G274" i="1"/>
  <c r="G275" i="1" a="1"/>
  <c r="G275" i="1" s="1"/>
  <c r="G276" i="1" a="1"/>
  <c r="G276" i="1" s="1"/>
  <c r="G277" i="1" a="1"/>
  <c r="G277" i="1" s="1"/>
  <c r="G278" i="1" a="1"/>
  <c r="G278" i="1"/>
  <c r="G279" i="1" a="1"/>
  <c r="G279" i="1" s="1"/>
  <c r="G280" i="1" a="1"/>
  <c r="G280" i="1"/>
  <c r="G281" i="1" a="1"/>
  <c r="G281" i="1" s="1"/>
  <c r="G282" i="1" a="1"/>
  <c r="G282" i="1"/>
  <c r="G283" i="1" a="1"/>
  <c r="G283" i="1" s="1"/>
  <c r="G284" i="1" a="1"/>
  <c r="G284" i="1" s="1"/>
  <c r="G285" i="1" a="1"/>
  <c r="G285" i="1" s="1"/>
  <c r="G286" i="1" a="1"/>
  <c r="G286" i="1"/>
  <c r="G287" i="1" a="1"/>
  <c r="G287" i="1" s="1"/>
  <c r="G288" i="1" a="1"/>
  <c r="G288" i="1"/>
  <c r="G289" i="1" a="1"/>
  <c r="G289" i="1" s="1"/>
  <c r="G290" i="1" a="1"/>
  <c r="G290" i="1"/>
  <c r="G291" i="1" a="1"/>
  <c r="G291" i="1" s="1"/>
  <c r="G292" i="1" a="1"/>
  <c r="G292" i="1" s="1"/>
  <c r="G293" i="1" a="1"/>
  <c r="G293" i="1" s="1"/>
  <c r="G294" i="1" a="1"/>
  <c r="G294" i="1"/>
  <c r="G295" i="1" a="1"/>
  <c r="G295" i="1" s="1"/>
  <c r="G296" i="1" a="1"/>
  <c r="G296" i="1"/>
  <c r="G297" i="1" a="1"/>
  <c r="G297" i="1" s="1"/>
  <c r="G298" i="1" a="1"/>
  <c r="G298" i="1"/>
  <c r="G299" i="1" a="1"/>
  <c r="G299" i="1" s="1"/>
  <c r="G300" i="1" a="1"/>
  <c r="G300" i="1" s="1"/>
  <c r="G301" i="1" a="1"/>
  <c r="G301" i="1" s="1"/>
  <c r="G302" i="1" a="1"/>
  <c r="G302" i="1"/>
  <c r="G303" i="1" a="1"/>
  <c r="G303" i="1" s="1"/>
  <c r="G304" i="1" a="1"/>
  <c r="G304" i="1"/>
  <c r="G305" i="1" a="1"/>
  <c r="G305" i="1" s="1"/>
  <c r="G306" i="1" a="1"/>
  <c r="G306" i="1"/>
  <c r="G307" i="1" a="1"/>
  <c r="G307" i="1" s="1"/>
  <c r="G308" i="1" a="1"/>
  <c r="G308" i="1" s="1"/>
  <c r="G309" i="1" a="1"/>
  <c r="G309" i="1" s="1"/>
  <c r="G310" i="1" a="1"/>
  <c r="G310" i="1"/>
  <c r="G311" i="1" a="1"/>
  <c r="G311" i="1" s="1"/>
  <c r="G312" i="1" a="1"/>
  <c r="G312" i="1"/>
  <c r="G313" i="1" a="1"/>
  <c r="G313" i="1" s="1"/>
  <c r="G314" i="1" a="1"/>
  <c r="G314" i="1"/>
  <c r="G315" i="1" a="1"/>
  <c r="G315" i="1" s="1"/>
  <c r="G316" i="1" a="1"/>
  <c r="G316" i="1" s="1"/>
  <c r="G317" i="1" a="1"/>
  <c r="G317" i="1" s="1"/>
  <c r="G318" i="1" a="1"/>
  <c r="G318" i="1"/>
  <c r="G319" i="1" a="1"/>
  <c r="G319" i="1" s="1"/>
  <c r="G320" i="1" a="1"/>
  <c r="G320" i="1"/>
  <c r="G321" i="1" a="1"/>
  <c r="G321" i="1" s="1"/>
  <c r="G322" i="1" a="1"/>
  <c r="G322" i="1"/>
  <c r="G323" i="1" a="1"/>
  <c r="G323" i="1" s="1"/>
  <c r="G324" i="1" a="1"/>
  <c r="G324" i="1" s="1"/>
  <c r="G325" i="1" a="1"/>
  <c r="G325" i="1" s="1"/>
  <c r="G326" i="1" a="1"/>
  <c r="G326" i="1"/>
  <c r="G327" i="1" a="1"/>
  <c r="G327" i="1" s="1"/>
  <c r="G328" i="1" a="1"/>
  <c r="G328" i="1"/>
  <c r="G329" i="1" a="1"/>
  <c r="G329" i="1" s="1"/>
  <c r="G330" i="1" a="1"/>
  <c r="G330" i="1"/>
  <c r="G331" i="1" a="1"/>
  <c r="G331" i="1" s="1"/>
  <c r="G332" i="1" a="1"/>
  <c r="G332" i="1" s="1"/>
  <c r="G333" i="1" a="1"/>
  <c r="G333" i="1"/>
  <c r="G334" i="1" a="1"/>
  <c r="G334" i="1" s="1"/>
  <c r="G335" i="1" a="1"/>
  <c r="G335" i="1"/>
  <c r="G336" i="1" a="1"/>
  <c r="G336" i="1" s="1"/>
  <c r="G337" i="1" a="1"/>
  <c r="G337" i="1"/>
  <c r="G338" i="1" a="1"/>
  <c r="G338" i="1" s="1"/>
  <c r="G339" i="1" a="1"/>
  <c r="G339" i="1"/>
  <c r="G340" i="1" a="1"/>
  <c r="G340" i="1" s="1"/>
  <c r="G341" i="1" a="1"/>
  <c r="G341" i="1"/>
  <c r="G342" i="1" a="1"/>
  <c r="G342" i="1" s="1"/>
  <c r="G343" i="1" a="1"/>
  <c r="G343" i="1"/>
  <c r="G344" i="1" a="1"/>
  <c r="G344" i="1" s="1"/>
  <c r="G345" i="1" a="1"/>
  <c r="G345" i="1"/>
  <c r="G346" i="1" a="1"/>
  <c r="G346" i="1" s="1"/>
  <c r="G347" i="1" a="1"/>
  <c r="G347" i="1"/>
  <c r="G348" i="1" a="1"/>
  <c r="G348" i="1" s="1"/>
  <c r="G349" i="1" a="1"/>
  <c r="G349" i="1"/>
  <c r="G350" i="1" a="1"/>
  <c r="G350" i="1" s="1"/>
  <c r="G351" i="1" a="1"/>
  <c r="G351" i="1"/>
  <c r="G352" i="1" a="1"/>
  <c r="G352" i="1" s="1"/>
  <c r="G353" i="1" a="1"/>
  <c r="G353" i="1"/>
  <c r="G354" i="1" a="1"/>
  <c r="G354" i="1" s="1"/>
  <c r="G355" i="1" a="1"/>
  <c r="G355" i="1"/>
  <c r="G356" i="1" a="1"/>
  <c r="G356" i="1" s="1"/>
  <c r="G357" i="1" a="1"/>
  <c r="G357" i="1"/>
  <c r="G358" i="1" a="1"/>
  <c r="G358" i="1" s="1"/>
  <c r="G359" i="1" a="1"/>
  <c r="G359" i="1"/>
  <c r="G360" i="1" a="1"/>
  <c r="G360" i="1" s="1"/>
  <c r="G361" i="1" a="1"/>
  <c r="G361" i="1"/>
  <c r="G362" i="1" a="1"/>
  <c r="G362" i="1" s="1"/>
  <c r="G363" i="1" a="1"/>
  <c r="G363" i="1"/>
  <c r="G364" i="1" a="1"/>
  <c r="G364" i="1" s="1"/>
  <c r="G365" i="1" a="1"/>
  <c r="G365" i="1"/>
  <c r="G366" i="1" a="1"/>
  <c r="G366" i="1" s="1"/>
  <c r="G367" i="1" a="1"/>
  <c r="G367" i="1"/>
  <c r="G368" i="1" a="1"/>
  <c r="G368" i="1" s="1"/>
  <c r="G369" i="1" a="1"/>
  <c r="G369" i="1"/>
  <c r="G370" i="1" a="1"/>
  <c r="G370" i="1" s="1"/>
  <c r="G371" i="1" a="1"/>
  <c r="G371" i="1"/>
  <c r="G372" i="1" a="1"/>
  <c r="G372" i="1" s="1"/>
  <c r="G373" i="1" a="1"/>
  <c r="G373" i="1"/>
  <c r="G374" i="1" a="1"/>
  <c r="G374" i="1" s="1"/>
  <c r="G375" i="1" a="1"/>
  <c r="G375" i="1"/>
  <c r="G376" i="1" a="1"/>
  <c r="G376" i="1" s="1"/>
  <c r="G377" i="1" a="1"/>
  <c r="G377" i="1"/>
  <c r="G378" i="1" a="1"/>
  <c r="G378" i="1" s="1"/>
  <c r="G379" i="1" a="1"/>
  <c r="G379" i="1"/>
  <c r="G380" i="1" a="1"/>
  <c r="G380" i="1" s="1"/>
  <c r="G381" i="1" a="1"/>
  <c r="G381" i="1"/>
  <c r="G382" i="1" a="1"/>
  <c r="G382" i="1" s="1"/>
  <c r="G383" i="1" a="1"/>
  <c r="G383" i="1"/>
  <c r="G384" i="1" a="1"/>
  <c r="G384" i="1" s="1"/>
  <c r="G385" i="1" a="1"/>
  <c r="G385" i="1"/>
  <c r="G386" i="1" a="1"/>
  <c r="G386" i="1" s="1"/>
  <c r="G387" i="1" a="1"/>
  <c r="G387" i="1"/>
  <c r="G388" i="1" a="1"/>
  <c r="G388" i="1" s="1"/>
  <c r="G389" i="1" a="1"/>
  <c r="G389" i="1"/>
  <c r="G390" i="1" a="1"/>
  <c r="G390" i="1" s="1"/>
  <c r="G391" i="1" a="1"/>
  <c r="G391" i="1"/>
  <c r="G392" i="1" a="1"/>
  <c r="G392" i="1" s="1"/>
  <c r="G393" i="1" a="1"/>
  <c r="G393" i="1"/>
  <c r="G394" i="1" a="1"/>
  <c r="G394" i="1" s="1"/>
  <c r="G395" i="1" a="1"/>
  <c r="G395" i="1"/>
  <c r="G396" i="1" a="1"/>
  <c r="G396" i="1" s="1"/>
  <c r="G397" i="1" a="1"/>
  <c r="G397" i="1"/>
  <c r="G398" i="1" a="1"/>
  <c r="G398" i="1" s="1"/>
  <c r="G399" i="1" a="1"/>
  <c r="G399" i="1"/>
  <c r="G400" i="1" a="1"/>
  <c r="G400" i="1" s="1"/>
  <c r="G401" i="1" a="1"/>
  <c r="G401" i="1"/>
  <c r="H8" i="2"/>
  <c r="D8" i="2"/>
  <c r="B7" i="2"/>
  <c r="K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<sst xmlns="http://schemas.openxmlformats.org/spreadsheetml/2006/main" count="2137" uniqueCount="71">
  <si>
    <t>Product_Area</t>
  </si>
  <si>
    <t>Item_Name</t>
  </si>
  <si>
    <t>Family</t>
  </si>
  <si>
    <t>Product_Type</t>
  </si>
  <si>
    <t>Week</t>
  </si>
  <si>
    <t>Mes</t>
  </si>
  <si>
    <t>Venta_$</t>
  </si>
  <si>
    <t>Venta_Und</t>
  </si>
  <si>
    <t>Inventario</t>
  </si>
  <si>
    <t>Precio_promedio_por_unidad</t>
  </si>
  <si>
    <t>Home desk storage</t>
  </si>
  <si>
    <t>LAGKAPTEN cabinet</t>
  </si>
  <si>
    <t>LAGKAPTEN</t>
  </si>
  <si>
    <t>cabinet</t>
  </si>
  <si>
    <t>agosto</t>
  </si>
  <si>
    <t>Living room furniture</t>
  </si>
  <si>
    <t>LAGKAPTEN drawer unit</t>
  </si>
  <si>
    <t>drawer unit</t>
  </si>
  <si>
    <t>Kitchen organization</t>
  </si>
  <si>
    <t>FJÄLLBO shelf</t>
  </si>
  <si>
    <t>FJÄLLBO</t>
  </si>
  <si>
    <t>shelf</t>
  </si>
  <si>
    <t>julio</t>
  </si>
  <si>
    <t>NORDEN storage box</t>
  </si>
  <si>
    <t>NORDEN</t>
  </si>
  <si>
    <t>storage box</t>
  </si>
  <si>
    <t>septiembre</t>
  </si>
  <si>
    <t>KALLAX desk</t>
  </si>
  <si>
    <t>KALLAX</t>
  </si>
  <si>
    <t>desk</t>
  </si>
  <si>
    <t>octubre</t>
  </si>
  <si>
    <t>Office essentials</t>
  </si>
  <si>
    <t>KALLAX drawer unit</t>
  </si>
  <si>
    <t>enero</t>
  </si>
  <si>
    <t>KALLAX cabinet</t>
  </si>
  <si>
    <t>junio</t>
  </si>
  <si>
    <t>FJÄLLBO desk</t>
  </si>
  <si>
    <t>Bedroom storage</t>
  </si>
  <si>
    <t>FJÄLLBO storage box</t>
  </si>
  <si>
    <t>diciembre</t>
  </si>
  <si>
    <t>LAGKAPTEN desk</t>
  </si>
  <si>
    <t>BLÄSTA storage box</t>
  </si>
  <si>
    <t>BLÄSTA</t>
  </si>
  <si>
    <t>mayo</t>
  </si>
  <si>
    <t>BLÄSTA cabinet</t>
  </si>
  <si>
    <t>febrero</t>
  </si>
  <si>
    <t>marzo</t>
  </si>
  <si>
    <t>BLÄSTA desk</t>
  </si>
  <si>
    <t>FJÄLLBO cabinet</t>
  </si>
  <si>
    <t>noviembre</t>
  </si>
  <si>
    <t>FJÄLLBO drawer unit</t>
  </si>
  <si>
    <t>NORDEN shelf</t>
  </si>
  <si>
    <t>NORDEN cabinet</t>
  </si>
  <si>
    <t>NORDEN desk</t>
  </si>
  <si>
    <t>KALLAX shelf</t>
  </si>
  <si>
    <t>BLÄSTA shelf</t>
  </si>
  <si>
    <t>NORDEN drawer unit</t>
  </si>
  <si>
    <t>BLÄSTA drawer unit</t>
  </si>
  <si>
    <t>LAGKAPTEN shelf</t>
  </si>
  <si>
    <t>LAGKAPTEN storage box</t>
  </si>
  <si>
    <t>abril</t>
  </si>
  <si>
    <t>KALLAX storage box</t>
  </si>
  <si>
    <t>Análisis de ventas del año 2025 empresa xxx</t>
  </si>
  <si>
    <t>Etiquetas de fila</t>
  </si>
  <si>
    <t>Total general</t>
  </si>
  <si>
    <t>Suma de Venta_$</t>
  </si>
  <si>
    <t>Suma de Venta_Und</t>
  </si>
  <si>
    <t>Promedio de Precio_promedio_por_unidad</t>
  </si>
  <si>
    <t>Suma de Inventario</t>
  </si>
  <si>
    <t>Mes_numero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</si>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</sst>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0"/>
      <color theme="0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" borderId="0" xfId="0" applyFill="1"/>
    <xf numFmtId="44" fontId="0" fillId="3" borderId="0" xfId="1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vertical="center"/>
    </xf>
    <xf numFmtId="10" fontId="0" fillId="0" borderId="0" xfId="0" applyNumberFormat="1"/>
    <xf numFmtId="0" fontId="0" fillId="4" borderId="0" xfId="0" applyFill="1"/>
    <xf numFmtId="0" fontId="3" fillId="5" borderId="1" xfId="0" applyFont="1" applyFill="1" applyBorder="1"/>
    <xf numFmtId="0" fontId="2" fillId="2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numFmt numFmtId="34" formatCode="_-&quot;$&quot;\ * #,##0.00_-;\-&quot;$&quot;\ * #,##0.00_-;_-&quot;$&quot;\ * &quot;-&quot;??_-;_-@_-"/>
    </dxf>
    <dxf>
      <numFmt numFmtId="0" formatCode="General"/>
    </dxf>
  </dxfs>
  <tableStyles count="0" defaultTableStyle="TableStyleMedium9" defaultPivotStyle="PivotStyleLight16"/>
  <colors>
    <mruColors>
      <color rgb="FF1BF1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[Dashboard_ventas_productos_ficticio.xlsx]Pivot!TablaDinámica5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Ventas por</a:t>
            </a:r>
            <a:r>
              <a:rPr lang="en-US" sz="1400" baseline="0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area de producto</a:t>
            </a:r>
            <a:endParaRPr lang="en-US" sz="14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Pivot!$D$3:$D$8</c:f>
              <c:strCache>
                <c:ptCount val="5"/>
                <c:pt idx="0">
                  <c:v>Office essentials</c:v>
                </c:pt>
                <c:pt idx="1">
                  <c:v>Living room furniture</c:v>
                </c:pt>
                <c:pt idx="2">
                  <c:v>Kitchen organization</c:v>
                </c:pt>
                <c:pt idx="3">
                  <c:v>Home desk storage</c:v>
                </c:pt>
                <c:pt idx="4">
                  <c:v>Bedroom storage</c:v>
                </c:pt>
              </c:strCache>
            </c:strRef>
          </c:cat>
          <c:val>
            <c:numRef>
              <c:f>Pivot!$E$3:$E$8</c:f>
              <c:numCache>
                <c:formatCode>General</c:formatCode>
                <c:ptCount val="5"/>
                <c:pt idx="0">
                  <c:v>448514880</c:v>
                </c:pt>
                <c:pt idx="1">
                  <c:v>460302949</c:v>
                </c:pt>
                <c:pt idx="2">
                  <c:v>462934829</c:v>
                </c:pt>
                <c:pt idx="3">
                  <c:v>391568055</c:v>
                </c:pt>
                <c:pt idx="4">
                  <c:v>568151483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5-486F-8E55-3696547B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5130448"/>
        <c:axId val="2045130928"/>
      </c:barChart>
      <c:catAx>
        <c:axId val="204513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2045130928"/>
        <c:crosses val="autoZero"/>
        <c:auto val="1"/>
        <c:lblAlgn val="ctr"/>
        <c:lblOffset val="100"/>
        <c:noMultiLvlLbl val="0"/>
      </c:catAx>
      <c:valAx>
        <c:axId val="204513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204513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[Dashboard_ventas_productos_ficticio.xlsx]Pivot!TablaDinámica6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Ventas por mes</a:t>
            </a:r>
          </a:p>
        </c:rich>
      </c:tx>
      <c:layout>
        <c:manualLayout>
          <c:xMode val="edge"/>
          <c:yMode val="edge"/>
          <c:x val="0.4230555555555556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Pivot!$B$15:$B$27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Pivot!$C$15:$C$27</c:f>
              <c:numCache>
                <c:formatCode>General</c:formatCode>
                <c:ptCount val="12"/>
                <c:pt idx="0">
                  <c:v>179133142</c:v>
                </c:pt>
                <c:pt idx="1">
                  <c:v>128594582</c:v>
                </c:pt>
                <c:pt idx="2">
                  <c:v>164584314</c:v>
                </c:pt>
                <c:pt idx="3">
                  <c:v>203739117</c:v>
                </c:pt>
                <c:pt idx="4">
                  <c:v>225719181</c:v>
                </c:pt>
                <c:pt idx="5">
                  <c:v>265074558</c:v>
                </c:pt>
                <c:pt idx="6">
                  <c:v>176604570</c:v>
                </c:pt>
                <c:pt idx="7">
                  <c:v>183482817</c:v>
                </c:pt>
                <c:pt idx="8">
                  <c:v>174544533</c:v>
                </c:pt>
                <c:pt idx="9">
                  <c:v>225809748</c:v>
                </c:pt>
                <c:pt idx="10">
                  <c:v>195208381</c:v>
                </c:pt>
                <c:pt idx="11">
                  <c:v>208977253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7-4727-BEB3-D84B44F5A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482303"/>
        <c:axId val="369480863"/>
      </c:lineChart>
      <c:catAx>
        <c:axId val="36948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369480863"/>
        <c:crosses val="autoZero"/>
        <c:auto val="1"/>
        <c:lblAlgn val="ctr"/>
        <c:lblOffset val="100"/>
        <c:noMultiLvlLbl val="0"/>
      </c:catAx>
      <c:valAx>
        <c:axId val="3694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36948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[Dashboard_ventas_productos_ficticio.xlsx]Pivot!TablaDinámica8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Ventas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Pivot!$F$12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Pivot!$E$13:$E$65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Pivot!$F$13:$F$65</c:f>
              <c:numCache>
                <c:formatCode>General</c:formatCode>
                <c:ptCount val="52"/>
                <c:pt idx="0">
                  <c:v>81906996</c:v>
                </c:pt>
                <c:pt idx="1">
                  <c:v>49812651</c:v>
                </c:pt>
                <c:pt idx="2">
                  <c:v>13530244</c:v>
                </c:pt>
                <c:pt idx="3">
                  <c:v>60172162</c:v>
                </c:pt>
                <c:pt idx="4">
                  <c:v>33261926</c:v>
                </c:pt>
                <c:pt idx="5">
                  <c:v>63953760</c:v>
                </c:pt>
                <c:pt idx="6">
                  <c:v>20794332</c:v>
                </c:pt>
                <c:pt idx="7">
                  <c:v>28739549</c:v>
                </c:pt>
                <c:pt idx="8">
                  <c:v>63143442</c:v>
                </c:pt>
                <c:pt idx="9">
                  <c:v>30806050</c:v>
                </c:pt>
                <c:pt idx="10">
                  <c:v>45174218</c:v>
                </c:pt>
                <c:pt idx="11">
                  <c:v>50610666</c:v>
                </c:pt>
                <c:pt idx="12">
                  <c:v>30872002</c:v>
                </c:pt>
                <c:pt idx="13">
                  <c:v>58249405</c:v>
                </c:pt>
                <c:pt idx="14">
                  <c:v>52692305</c:v>
                </c:pt>
                <c:pt idx="15">
                  <c:v>67275677</c:v>
                </c:pt>
                <c:pt idx="16">
                  <c:v>23724238</c:v>
                </c:pt>
                <c:pt idx="17">
                  <c:v>50403718</c:v>
                </c:pt>
                <c:pt idx="18">
                  <c:v>69773287</c:v>
                </c:pt>
                <c:pt idx="19">
                  <c:v>42924904</c:v>
                </c:pt>
                <c:pt idx="20">
                  <c:v>47972321</c:v>
                </c:pt>
                <c:pt idx="21">
                  <c:v>37432669</c:v>
                </c:pt>
                <c:pt idx="22">
                  <c:v>31095029</c:v>
                </c:pt>
                <c:pt idx="23">
                  <c:v>47616171</c:v>
                </c:pt>
                <c:pt idx="24">
                  <c:v>47958128</c:v>
                </c:pt>
                <c:pt idx="25">
                  <c:v>63060050</c:v>
                </c:pt>
                <c:pt idx="26">
                  <c:v>63709379</c:v>
                </c:pt>
                <c:pt idx="27">
                  <c:v>40495166</c:v>
                </c:pt>
                <c:pt idx="28">
                  <c:v>27094024</c:v>
                </c:pt>
                <c:pt idx="29">
                  <c:v>26196121</c:v>
                </c:pt>
                <c:pt idx="30">
                  <c:v>49304414</c:v>
                </c:pt>
                <c:pt idx="31">
                  <c:v>31020981</c:v>
                </c:pt>
                <c:pt idx="32">
                  <c:v>32433980</c:v>
                </c:pt>
                <c:pt idx="33">
                  <c:v>41123242</c:v>
                </c:pt>
                <c:pt idx="34">
                  <c:v>50457712</c:v>
                </c:pt>
                <c:pt idx="35">
                  <c:v>49795878</c:v>
                </c:pt>
                <c:pt idx="36">
                  <c:v>48310339</c:v>
                </c:pt>
                <c:pt idx="37">
                  <c:v>29414335</c:v>
                </c:pt>
                <c:pt idx="38">
                  <c:v>30183427</c:v>
                </c:pt>
                <c:pt idx="39">
                  <c:v>30565642</c:v>
                </c:pt>
                <c:pt idx="40">
                  <c:v>36951945</c:v>
                </c:pt>
                <c:pt idx="41">
                  <c:v>53126528</c:v>
                </c:pt>
                <c:pt idx="42">
                  <c:v>71957442</c:v>
                </c:pt>
                <c:pt idx="43">
                  <c:v>53355702</c:v>
                </c:pt>
                <c:pt idx="44">
                  <c:v>35443445</c:v>
                </c:pt>
                <c:pt idx="45">
                  <c:v>79795183</c:v>
                </c:pt>
                <c:pt idx="46">
                  <c:v>52367308</c:v>
                </c:pt>
                <c:pt idx="47">
                  <c:v>48767132</c:v>
                </c:pt>
                <c:pt idx="48">
                  <c:v>38447542</c:v>
                </c:pt>
                <c:pt idx="49">
                  <c:v>29537447</c:v>
                </c:pt>
                <c:pt idx="50">
                  <c:v>23104417</c:v>
                </c:pt>
                <c:pt idx="51">
                  <c:v>45557565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9-41CE-8E31-8B6467D39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825455"/>
        <c:axId val="669804815"/>
      </c:lineChart>
      <c:catAx>
        <c:axId val="6698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669804815"/>
        <c:crosses val="autoZero"/>
        <c:auto val="1"/>
        <c:lblAlgn val="ctr"/>
        <c:lblOffset val="100"/>
        <c:noMultiLvlLbl val="0"/>
      </c:catAx>
      <c:valAx>
        <c:axId val="66980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6698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[Dashboard_ventas_productos_ficticio.xlsx]Pivot!TablaDinámica9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419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Ventas vs unidades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F1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BF1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BF1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BF1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Pivot!$I$2</c:f>
              <c:strCache>
                <c:ptCount val="1"/>
                <c:pt idx="0">
                  <c:v>Suma de Venta_$</c:v>
                </c:pt>
              </c:strCache>
            </c:strRef>
          </c:tx>
          <c:spPr>
            <a:solidFill>
              <a:srgbClr val="1BF153"/>
            </a:solidFill>
            <a:ln>
              <a:noFill/>
            </a:ln>
            <a:effectLst/>
            <a:sp3d/>
          </c:spPr>
          <c:invertIfNegative val="0"/>
          <c:cat>
            <c:strRef>
              <c:f>Pivot!$H$3:$H$15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Pivot!$I$3:$I$15</c:f>
              <c:numCache>
                <c:formatCode>General</c:formatCode>
                <c:ptCount val="12"/>
                <c:pt idx="0">
                  <c:v>179133142</c:v>
                </c:pt>
                <c:pt idx="1">
                  <c:v>128594582</c:v>
                </c:pt>
                <c:pt idx="2">
                  <c:v>164584314</c:v>
                </c:pt>
                <c:pt idx="3">
                  <c:v>203739117</c:v>
                </c:pt>
                <c:pt idx="4">
                  <c:v>225719181</c:v>
                </c:pt>
                <c:pt idx="5">
                  <c:v>265074558</c:v>
                </c:pt>
                <c:pt idx="6">
                  <c:v>176604570</c:v>
                </c:pt>
                <c:pt idx="7">
                  <c:v>183482817</c:v>
                </c:pt>
                <c:pt idx="8">
                  <c:v>174544533</c:v>
                </c:pt>
                <c:pt idx="9">
                  <c:v>225809748</c:v>
                </c:pt>
                <c:pt idx="10">
                  <c:v>195208381</c:v>
                </c:pt>
                <c:pt idx="11">
                  <c:v>208977253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E8-4547-BE12-277FD537CE68}"/>
            </c:ext>
          </c:extLst>
        </c:ser>
        <c:ser>
          <c:idx val="1"/>
          <c:order val="1"/>
          <c:tx>
            <c:strRef>
              <c:f>Pivot!$J$2</c:f>
              <c:strCache>
                <c:ptCount val="1"/>
                <c:pt idx="0">
                  <c:v>Suma de Venta_Und</c:v>
                </c:pt>
              </c:strCache>
            </c:strRef>
          </c:tx>
          <c:invertIfNegative val="0"/>
          <c:cat>
            <c:strRef>
              <c:f>Pivot!$H$3:$H$15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Pivot!$J$3:$J$15</c:f>
              <c:numCache>
                <c:formatCode>General</c:formatCode>
                <c:ptCount val="12"/>
                <c:pt idx="0">
                  <c:v>3504</c:v>
                </c:pt>
                <c:pt idx="1">
                  <c:v>2569</c:v>
                </c:pt>
                <c:pt idx="2">
                  <c:v>3356</c:v>
                </c:pt>
                <c:pt idx="3">
                  <c:v>4001</c:v>
                </c:pt>
                <c:pt idx="4">
                  <c:v>4244</c:v>
                </c:pt>
                <c:pt idx="5">
                  <c:v>5210</c:v>
                </c:pt>
                <c:pt idx="6">
                  <c:v>3713</c:v>
                </c:pt>
                <c:pt idx="7">
                  <c:v>3656</c:v>
                </c:pt>
                <c:pt idx="8">
                  <c:v>3379</c:v>
                </c:pt>
                <c:pt idx="9">
                  <c:v>4365</c:v>
                </c:pt>
                <c:pt idx="10">
                  <c:v>3799</c:v>
                </c:pt>
                <c:pt idx="11">
                  <c:v>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E8-4547-BE12-277FD537C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8563247"/>
        <c:axId val="768563727"/>
        <c:axId val="0"/>
      </c:bar3DChart>
      <c:catAx>
        <c:axId val="7685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768563727"/>
        <c:crosses val="autoZero"/>
        <c:auto val="1"/>
        <c:lblAlgn val="ctr"/>
        <c:lblOffset val="100"/>
        <c:noMultiLvlLbl val="0"/>
      </c:catAx>
      <c:valAx>
        <c:axId val="7685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768563247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[Dashboard_ventas_productos_ficticio.xlsx]Pivot!TablaDinámica10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419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productos más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F1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BF1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BF15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Pivot!$I$17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F153"/>
            </a:solidFill>
            <a:ln>
              <a:noFill/>
            </a:ln>
            <a:effectLst/>
            <a:sp3d/>
          </c:spPr>
          <c:invertIfNegative val="0"/>
          <c:cat>
            <c:strRef>
              <c:f>Pivot!$H$18:$H$28</c:f>
              <c:strCache>
                <c:ptCount val="10"/>
                <c:pt idx="0">
                  <c:v>KALLAX drawer unit</c:v>
                </c:pt>
                <c:pt idx="1">
                  <c:v>FJÄLLBO storage box</c:v>
                </c:pt>
                <c:pt idx="2">
                  <c:v>KALLAX cabinet</c:v>
                </c:pt>
                <c:pt idx="3">
                  <c:v>LAGKAPTEN shelf</c:v>
                </c:pt>
                <c:pt idx="4">
                  <c:v>KALLAX desk</c:v>
                </c:pt>
                <c:pt idx="5">
                  <c:v>FJÄLLBO cabinet</c:v>
                </c:pt>
                <c:pt idx="6">
                  <c:v>LAGKAPTEN storage box</c:v>
                </c:pt>
                <c:pt idx="7">
                  <c:v>LAGKAPTEN desk</c:v>
                </c:pt>
                <c:pt idx="8">
                  <c:v>BLÄSTA storage box</c:v>
                </c:pt>
                <c:pt idx="9">
                  <c:v>NORDEN shelf</c:v>
                </c:pt>
              </c:strCache>
            </c:strRef>
          </c:cat>
          <c:val>
            <c:numRef>
              <c:f>Pivot!$I$18:$I$28</c:f>
              <c:numCache>
                <c:formatCode>General</c:formatCode>
                <c:ptCount val="10"/>
                <c:pt idx="0">
                  <c:v>154025687</c:v>
                </c:pt>
                <c:pt idx="1">
                  <c:v>149373252</c:v>
                </c:pt>
                <c:pt idx="2">
                  <c:v>119408294</c:v>
                </c:pt>
                <c:pt idx="3">
                  <c:v>115344066</c:v>
                </c:pt>
                <c:pt idx="4">
                  <c:v>114349183</c:v>
                </c:pt>
                <c:pt idx="5">
                  <c:v>112561886</c:v>
                </c:pt>
                <c:pt idx="6">
                  <c:v>110055566</c:v>
                </c:pt>
                <c:pt idx="7">
                  <c:v>105782608</c:v>
                </c:pt>
                <c:pt idx="8">
                  <c:v>104616114</c:v>
                </c:pt>
                <c:pt idx="9">
                  <c:v>95559048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8-4235-8BB9-56E5C098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8563247"/>
        <c:axId val="768563727"/>
        <c:axId val="0"/>
      </c:bar3DChart>
      <c:catAx>
        <c:axId val="7685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768563727"/>
        <c:crosses val="autoZero"/>
        <c:auto val="1"/>
        <c:lblAlgn val="ctr"/>
        <c:lblOffset val="100"/>
        <c:noMultiLvlLbl val="0"/>
      </c:catAx>
      <c:valAx>
        <c:axId val="7685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419"/>
          </a:p>
        </c:txPr>
        <c:crossAx val="76856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[Dashboard_ventas_productos_ficticio.xlsx]Pivot!TablaDinámica11</c:name>
    <c:fmtId val="10"/>
  </c:pivotSource>
  <c:chart>
    <c:title>
      <c:tx>
        <c:rich>
          <a:bodyPr/>
          <a:lstStyle/>
          <a:p>
            <a:pPr>
              <a:defRPr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Ventas</a:t>
            </a:r>
            <a:r>
              <a:rPr lang="en-US" b="1" baseline="0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por familia</a:t>
            </a:r>
            <a:endParaRPr lang="en-US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marker>
          <c:symbol val="none"/>
        </c:marker>
        <c:dLbl>
          <c:idx val="0"/>
          <c:spPr/>
          <c:txPr>
            <a:bodyPr lIns="38100" tIns="19050" rIns="38100" bIns="19050">
              <a:spAutoFit/>
            </a:bodyPr>
            <a:lstStyle/>
            <a:p>
              <a:pPr>
                <a:defRPr sz="10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marker>
          <c:symbol val="none"/>
        </c:marker>
        <c:dLbl>
          <c:idx val="0"/>
          <c:spPr/>
          <c:txPr>
            <a:bodyPr lIns="38100" tIns="19050" rIns="38100" bIns="19050">
              <a:spAutoFit/>
            </a:bodyPr>
            <a:lstStyle/>
            <a:p>
              <a:pPr>
                <a:defRPr sz="10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marker>
          <c:symbol val="none"/>
        </c:marker>
        <c:dLbl>
          <c:idx val="0"/>
          <c:spPr/>
          <c:txPr>
            <a:bodyPr lIns="38100" tIns="19050" rIns="38100" bIns="19050">
              <a:spAutoFit/>
            </a:bodyPr>
            <a:lstStyle/>
            <a:p>
              <a:pPr>
                <a:defRPr sz="10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defRPr>
              </a:pPr>
              <a:endParaRPr lang="es-419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Pivot!$I$30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577-479C-9E16-0D216F4C7DE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577-479C-9E16-0D216F4C7DE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6577-479C-9E16-0D216F4C7DE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577-479C-9E16-0D216F4C7DE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6577-479C-9E16-0D216F4C7DE9}"/>
              </c:ext>
            </c:extLst>
          </c:dPt>
          <c:dLbls>
            <c:spPr/>
            <c:txPr>
              <a:bodyPr lIns="38100" tIns="19050" rIns="38100" bIns="19050">
                <a:spAutoFit/>
              </a:bodyPr>
              <a:lstStyle/>
              <a:p>
                <a:pPr>
                  <a:defRPr sz="1000" b="1">
                    <a:solidFill>
                      <a:schemeClr val="bg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Pivot!$H$31:$H$36</c:f>
              <c:strCache>
                <c:ptCount val="5"/>
                <c:pt idx="0">
                  <c:v>BLÄSTA</c:v>
                </c:pt>
                <c:pt idx="1">
                  <c:v>FJÄLLBO</c:v>
                </c:pt>
                <c:pt idx="2">
                  <c:v>KALLAX</c:v>
                </c:pt>
                <c:pt idx="3">
                  <c:v>LAGKAPTEN</c:v>
                </c:pt>
                <c:pt idx="4">
                  <c:v>NORDEN</c:v>
                </c:pt>
              </c:strCache>
            </c:strRef>
          </c:cat>
          <c:val>
            <c:numRef>
              <c:f>Pivot!$I$31:$I$36</c:f>
              <c:numCache>
                <c:formatCode>0.00%</c:formatCode>
                <c:ptCount val="5"/>
                <c:pt idx="0">
                  <c:v>0.18228663920125085</c:v>
                </c:pt>
                <c:pt idx="1">
                  <c:v>0.20984866465034183</c:v>
                </c:pt>
                <c:pt idx="2">
                  <c:v>0.2270861556523576</c:v>
                </c:pt>
                <c:pt idx="3">
                  <c:v>0.21743745941716561</c:v>
                </c:pt>
                <c:pt idx="4">
                  <c:v>0.16334108107888412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77-479C-9E16-0D216F4C7D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419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Inventario vs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Pivot!$M$38</c:f>
              <c:strCache>
                <c:ptCount val="1"/>
                <c:pt idx="0">
                  <c:v>Suma de Inventario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Pivot!$L$39:$L$64</c:f>
              <c:strCache>
                <c:ptCount val="25"/>
                <c:pt idx="0">
                  <c:v>BLÄSTA cabinet</c:v>
                </c:pt>
                <c:pt idx="1">
                  <c:v>BLÄSTA desk</c:v>
                </c:pt>
                <c:pt idx="2">
                  <c:v>BLÄSTA drawer unit</c:v>
                </c:pt>
                <c:pt idx="3">
                  <c:v>BLÄSTA shelf</c:v>
                </c:pt>
                <c:pt idx="4">
                  <c:v>BLÄSTA storage box</c:v>
                </c:pt>
                <c:pt idx="5">
                  <c:v>FJÄLLBO cabinet</c:v>
                </c:pt>
                <c:pt idx="6">
                  <c:v>FJÄLLBO desk</c:v>
                </c:pt>
                <c:pt idx="7">
                  <c:v>FJÄLLBO drawer unit</c:v>
                </c:pt>
                <c:pt idx="8">
                  <c:v>FJÄLLBO shelf</c:v>
                </c:pt>
                <c:pt idx="9">
                  <c:v>FJÄLLBO storage box</c:v>
                </c:pt>
                <c:pt idx="10">
                  <c:v>KALLAX cabinet</c:v>
                </c:pt>
                <c:pt idx="11">
                  <c:v>KALLAX desk</c:v>
                </c:pt>
                <c:pt idx="12">
                  <c:v>KALLAX drawer unit</c:v>
                </c:pt>
                <c:pt idx="13">
                  <c:v>KALLAX shelf</c:v>
                </c:pt>
                <c:pt idx="14">
                  <c:v>KALLAX storage box</c:v>
                </c:pt>
                <c:pt idx="15">
                  <c:v>LAGKAPTEN cabinet</c:v>
                </c:pt>
                <c:pt idx="16">
                  <c:v>LAGKAPTEN desk</c:v>
                </c:pt>
                <c:pt idx="17">
                  <c:v>LAGKAPTEN drawer unit</c:v>
                </c:pt>
                <c:pt idx="18">
                  <c:v>LAGKAPTEN shelf</c:v>
                </c:pt>
                <c:pt idx="19">
                  <c:v>LAGKAPTEN storage box</c:v>
                </c:pt>
                <c:pt idx="20">
                  <c:v>NORDEN cabinet</c:v>
                </c:pt>
                <c:pt idx="21">
                  <c:v>NORDEN desk</c:v>
                </c:pt>
                <c:pt idx="22">
                  <c:v>NORDEN drawer unit</c:v>
                </c:pt>
                <c:pt idx="23">
                  <c:v>NORDEN shelf</c:v>
                </c:pt>
                <c:pt idx="24">
                  <c:v>NORDEN storage box</c:v>
                </c:pt>
              </c:strCache>
            </c:strRef>
          </c:xVal>
          <c:yVal>
            <c:numRef>
              <c:f>Pivot!$M$39:$M$64</c:f>
              <c:numCache>
                <c:formatCode>General</c:formatCode>
                <c:ptCount val="26"/>
                <c:pt idx="0">
                  <c:v>7374</c:v>
                </c:pt>
                <c:pt idx="1">
                  <c:v>6790</c:v>
                </c:pt>
                <c:pt idx="2">
                  <c:v>7723</c:v>
                </c:pt>
                <c:pt idx="3">
                  <c:v>4410</c:v>
                </c:pt>
                <c:pt idx="4">
                  <c:v>7004</c:v>
                </c:pt>
                <c:pt idx="5">
                  <c:v>9223</c:v>
                </c:pt>
                <c:pt idx="6">
                  <c:v>7450</c:v>
                </c:pt>
                <c:pt idx="7">
                  <c:v>6673</c:v>
                </c:pt>
                <c:pt idx="8">
                  <c:v>5614</c:v>
                </c:pt>
                <c:pt idx="9">
                  <c:v>12140</c:v>
                </c:pt>
                <c:pt idx="10">
                  <c:v>7138</c:v>
                </c:pt>
                <c:pt idx="11">
                  <c:v>8459</c:v>
                </c:pt>
                <c:pt idx="12">
                  <c:v>10509</c:v>
                </c:pt>
                <c:pt idx="13">
                  <c:v>4840</c:v>
                </c:pt>
                <c:pt idx="14">
                  <c:v>4505</c:v>
                </c:pt>
                <c:pt idx="15">
                  <c:v>5513</c:v>
                </c:pt>
                <c:pt idx="16">
                  <c:v>6823</c:v>
                </c:pt>
                <c:pt idx="17">
                  <c:v>7159</c:v>
                </c:pt>
                <c:pt idx="18">
                  <c:v>9276</c:v>
                </c:pt>
                <c:pt idx="19">
                  <c:v>9917</c:v>
                </c:pt>
                <c:pt idx="20">
                  <c:v>3810</c:v>
                </c:pt>
                <c:pt idx="21">
                  <c:v>6967</c:v>
                </c:pt>
                <c:pt idx="22">
                  <c:v>6046</c:v>
                </c:pt>
                <c:pt idx="23">
                  <c:v>4211</c:v>
                </c:pt>
                <c:pt idx="24">
                  <c:v>6164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E6-4EC7-A949-F5D0880FD072}"/>
            </c:ext>
          </c:extLst>
        </c:ser>
        <c:ser>
          <c:idx val="1"/>
          <c:order val="1"/>
          <c:tx>
            <c:strRef>
              <c:f>Pivot!$N$38</c:f>
              <c:strCache>
                <c:ptCount val="1"/>
                <c:pt idx="0">
                  <c:v>Suma de Venta_$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Pivot!$L$39:$L$64</c:f>
              <c:strCache>
                <c:ptCount val="25"/>
                <c:pt idx="0">
                  <c:v>BLÄSTA cabinet</c:v>
                </c:pt>
                <c:pt idx="1">
                  <c:v>BLÄSTA desk</c:v>
                </c:pt>
                <c:pt idx="2">
                  <c:v>BLÄSTA drawer unit</c:v>
                </c:pt>
                <c:pt idx="3">
                  <c:v>BLÄSTA shelf</c:v>
                </c:pt>
                <c:pt idx="4">
                  <c:v>BLÄSTA storage box</c:v>
                </c:pt>
                <c:pt idx="5">
                  <c:v>FJÄLLBO cabinet</c:v>
                </c:pt>
                <c:pt idx="6">
                  <c:v>FJÄLLBO desk</c:v>
                </c:pt>
                <c:pt idx="7">
                  <c:v>FJÄLLBO drawer unit</c:v>
                </c:pt>
                <c:pt idx="8">
                  <c:v>FJÄLLBO shelf</c:v>
                </c:pt>
                <c:pt idx="9">
                  <c:v>FJÄLLBO storage box</c:v>
                </c:pt>
                <c:pt idx="10">
                  <c:v>KALLAX cabinet</c:v>
                </c:pt>
                <c:pt idx="11">
                  <c:v>KALLAX desk</c:v>
                </c:pt>
                <c:pt idx="12">
                  <c:v>KALLAX drawer unit</c:v>
                </c:pt>
                <c:pt idx="13">
                  <c:v>KALLAX shelf</c:v>
                </c:pt>
                <c:pt idx="14">
                  <c:v>KALLAX storage box</c:v>
                </c:pt>
                <c:pt idx="15">
                  <c:v>LAGKAPTEN cabinet</c:v>
                </c:pt>
                <c:pt idx="16">
                  <c:v>LAGKAPTEN desk</c:v>
                </c:pt>
                <c:pt idx="17">
                  <c:v>LAGKAPTEN drawer unit</c:v>
                </c:pt>
                <c:pt idx="18">
                  <c:v>LAGKAPTEN shelf</c:v>
                </c:pt>
                <c:pt idx="19">
                  <c:v>LAGKAPTEN storage box</c:v>
                </c:pt>
                <c:pt idx="20">
                  <c:v>NORDEN cabinet</c:v>
                </c:pt>
                <c:pt idx="21">
                  <c:v>NORDEN desk</c:v>
                </c:pt>
                <c:pt idx="22">
                  <c:v>NORDEN drawer unit</c:v>
                </c:pt>
                <c:pt idx="23">
                  <c:v>NORDEN shelf</c:v>
                </c:pt>
                <c:pt idx="24">
                  <c:v>NORDEN storage box</c:v>
                </c:pt>
              </c:strCache>
            </c:strRef>
          </c:xVal>
          <c:yVal>
            <c:numRef>
              <c:f>Pivot!$N$39:$N$64</c:f>
              <c:numCache>
                <c:formatCode>General</c:formatCode>
                <c:ptCount val="26"/>
                <c:pt idx="0">
                  <c:v>74096401</c:v>
                </c:pt>
                <c:pt idx="1">
                  <c:v>90948403</c:v>
                </c:pt>
                <c:pt idx="2">
                  <c:v>91511332</c:v>
                </c:pt>
                <c:pt idx="3">
                  <c:v>63823981</c:v>
                </c:pt>
                <c:pt idx="4">
                  <c:v>104616114</c:v>
                </c:pt>
                <c:pt idx="5">
                  <c:v>112561886</c:v>
                </c:pt>
                <c:pt idx="6">
                  <c:v>81903596</c:v>
                </c:pt>
                <c:pt idx="7">
                  <c:v>75789381</c:v>
                </c:pt>
                <c:pt idx="8">
                  <c:v>69628212</c:v>
                </c:pt>
                <c:pt idx="9">
                  <c:v>149373252</c:v>
                </c:pt>
                <c:pt idx="10">
                  <c:v>119408294</c:v>
                </c:pt>
                <c:pt idx="11">
                  <c:v>114349183</c:v>
                </c:pt>
                <c:pt idx="12">
                  <c:v>154025687</c:v>
                </c:pt>
                <c:pt idx="13">
                  <c:v>70848028</c:v>
                </c:pt>
                <c:pt idx="14">
                  <c:v>70813866</c:v>
                </c:pt>
                <c:pt idx="15">
                  <c:v>82319616</c:v>
                </c:pt>
                <c:pt idx="16">
                  <c:v>105782608</c:v>
                </c:pt>
                <c:pt idx="17">
                  <c:v>93447535</c:v>
                </c:pt>
                <c:pt idx="18">
                  <c:v>115344066</c:v>
                </c:pt>
                <c:pt idx="19">
                  <c:v>110055566</c:v>
                </c:pt>
                <c:pt idx="20">
                  <c:v>71643948</c:v>
                </c:pt>
                <c:pt idx="21">
                  <c:v>83999733</c:v>
                </c:pt>
                <c:pt idx="22">
                  <c:v>63918125</c:v>
                </c:pt>
                <c:pt idx="23">
                  <c:v>95559048</c:v>
                </c:pt>
                <c:pt idx="24">
                  <c:v>65704335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E6-4EC7-A949-F5D0880FD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298351"/>
        <c:axId val="557298831"/>
      </c:scatterChart>
      <c:valAx>
        <c:axId val="5572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57298831"/>
        <c:crosses val="autoZero"/>
        <c:crossBetween val="midCat"/>
      </c:valAx>
      <c:valAx>
        <c:axId val="5572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5729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172508</xdr:colOff>
      <xdr:row>5</xdr:row>
      <xdr:rowOff>66674</xdr:rowOff>
    </xdr:from>
    <xdr:to>
      <xdr:col>2</xdr:col>
      <xdr:colOff>382058</xdr:colOff>
      <xdr:row>10</xdr:row>
      <xdr:rowOff>76199</xdr:rowOff>
    </xdr:to>
    <xdr:sp macro="" textlink="$B$7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5C56425-E731-F7F3-A738-F85C1CCAB31C}"/>
            </a:ext>
          </a:extLst>
        </xdr:cNvPr>
        <xdr:cNvSpPr/>
      </xdr:nvSpPr>
      <xdr:spPr>
        <a:xfrm>
          <a:off x="172508" y="1019174"/>
          <a:ext cx="2190750" cy="962025"/>
        </a:xfrm>
        <a:prstGeom prst="roundRect">
          <a:avLst/>
        </a:prstGeom>
        <a:solidFill>
          <a:sysClr val="window" lastClr="FFFFFF"/>
        </a:solidFill>
        <a:ln>
          <a:solidFill>
            <a:schemeClr val="accent6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Ventas Totales</a:t>
          </a:r>
        </a:p>
        <a:p>
          <a:pPr algn="ctr"/>
          <a:fld id="{6BD5B855-E1A4-4D69-9988-AA277AFB3434}" type="TxLink">
            <a:rPr lang="en-US" sz="18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 $ 2.331.472.196.00 </a:t>
          </a:fld>
          <a:endParaRPr lang="es-419" sz="14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535517</xdr:colOff>
      <xdr:row>5</xdr:row>
      <xdr:rowOff>75141</xdr:rowOff>
    </xdr:from>
    <xdr:to>
      <xdr:col>5</xdr:col>
      <xdr:colOff>440267</xdr:colOff>
      <xdr:row>10</xdr:row>
      <xdr:rowOff>84666</xdr:rowOff>
    </xdr:to>
    <xdr:sp macro="" textlink="$D$8">
      <xdr:nvSpPr>
        <xdr:cNvPr id="3" name="Rectángulo: esquinas redondeadas 2">
          <a:extLst>
            <a:ext uri="{FF2B5EF4-FFF2-40B4-BE49-F238E27FC236}">
              <a16:creationId xmlns:a16="http://schemas.microsoft.com/office/drawing/2014/main" id="{B2AEEF96-899A-46C7-8852-F27055CF8828}"/>
            </a:ext>
          </a:extLst>
        </xdr:cNvPr>
        <xdr:cNvSpPr/>
      </xdr:nvSpPr>
      <xdr:spPr>
        <a:xfrm>
          <a:off x="2516717" y="1027641"/>
          <a:ext cx="2190750" cy="962025"/>
        </a:xfrm>
        <a:prstGeom prst="roundRect">
          <a:avLst/>
        </a:prstGeom>
        <a:solidFill>
          <a:sysClr val="window" lastClr="FFFFFF"/>
        </a:solidFill>
        <a:ln>
          <a:solidFill>
            <a:schemeClr val="accent6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Unidades vendidas</a:t>
          </a:r>
        </a:p>
        <a:p>
          <a:pPr algn="ctr"/>
          <a:fld id="{31F69FD1-A092-4F58-9DD8-898B947A0601}" type="TxLink">
            <a:rPr lang="en-US" sz="18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45863</a:t>
          </a:fld>
          <a:endParaRPr lang="es-419" sz="18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628650</xdr:colOff>
      <xdr:row>5</xdr:row>
      <xdr:rowOff>58207</xdr:rowOff>
    </xdr:from>
    <xdr:to>
      <xdr:col>8</xdr:col>
      <xdr:colOff>533400</xdr:colOff>
      <xdr:row>10</xdr:row>
      <xdr:rowOff>67732</xdr:rowOff>
    </xdr:to>
    <xdr:sp macro="" textlink="$H$8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BC3F501-1A3B-4C85-A672-021CEEE40B58}"/>
            </a:ext>
          </a:extLst>
        </xdr:cNvPr>
        <xdr:cNvSpPr/>
      </xdr:nvSpPr>
      <xdr:spPr>
        <a:xfrm>
          <a:off x="4895850" y="1010707"/>
          <a:ext cx="2409825" cy="962025"/>
        </a:xfrm>
        <a:prstGeom prst="roundRect">
          <a:avLst/>
        </a:prstGeom>
        <a:solidFill>
          <a:sysClr val="window" lastClr="FFFFFF"/>
        </a:solidFill>
        <a:ln>
          <a:solidFill>
            <a:schemeClr val="accent6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Precio promedio</a:t>
          </a:r>
        </a:p>
        <a:p>
          <a:pPr algn="ctr"/>
          <a:fld id="{AB0DBB70-0B12-4F25-81DA-1CDF97702CA5}" type="TxLink">
            <a:rPr lang="en-US" sz="18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 $ 50.713.76 </a:t>
          </a:fld>
          <a:endParaRPr lang="en-US" sz="1400" b="1" i="0" u="none" strike="noStrike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13758</xdr:colOff>
      <xdr:row>5</xdr:row>
      <xdr:rowOff>50799</xdr:rowOff>
    </xdr:from>
    <xdr:to>
      <xdr:col>11</xdr:col>
      <xdr:colOff>624417</xdr:colOff>
      <xdr:row>10</xdr:row>
      <xdr:rowOff>60324</xdr:rowOff>
    </xdr:to>
    <xdr:sp macro="" textlink="$K$8">
      <xdr:nvSpPr>
        <xdr:cNvPr id="5" name="Rectángulo: esquinas redondeadas 4">
          <a:extLst>
            <a:ext uri="{FF2B5EF4-FFF2-40B4-BE49-F238E27FC236}">
              <a16:creationId xmlns:a16="http://schemas.microsoft.com/office/drawing/2014/main" id="{435BE65B-1260-4A18-86F6-57C4CE5D058F}"/>
            </a:ext>
          </a:extLst>
        </xdr:cNvPr>
        <xdr:cNvSpPr/>
      </xdr:nvSpPr>
      <xdr:spPr>
        <a:xfrm>
          <a:off x="7548033" y="1003299"/>
          <a:ext cx="2134659" cy="962025"/>
        </a:xfrm>
        <a:prstGeom prst="roundRect">
          <a:avLst/>
        </a:prstGeom>
        <a:solidFill>
          <a:sysClr val="window" lastClr="FFFFFF"/>
        </a:solidFill>
        <a:ln>
          <a:solidFill>
            <a:schemeClr val="accent6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Inventario total </a:t>
          </a:r>
        </a:p>
        <a:p>
          <a:pPr algn="ctr"/>
          <a:fld id="{9B9DE2E2-73C6-417B-A0F8-716B34AD83C2}" type="TxLink">
            <a:rPr lang="en-US" sz="1800" b="1" i="0" u="none" strike="noStrike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175738</a:t>
          </a:fld>
          <a:endParaRPr lang="en-US" sz="1800" b="1" i="0" u="none" strike="noStrike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122767</xdr:colOff>
      <xdr:row>11</xdr:row>
      <xdr:rowOff>6350</xdr:rowOff>
    </xdr:from>
    <xdr:to>
      <xdr:col>5</xdr:col>
      <xdr:colOff>495300</xdr:colOff>
      <xdr:row>25</xdr:row>
      <xdr:rowOff>82550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BB050B-8011-484C-84C4-78E95F2E2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666751</xdr:colOff>
      <xdr:row>10</xdr:row>
      <xdr:rowOff>172509</xdr:rowOff>
    </xdr:from>
    <xdr:to>
      <xdr:col>11</xdr:col>
      <xdr:colOff>638176</xdr:colOff>
      <xdr:row>25</xdr:row>
      <xdr:rowOff>56092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41A14A2-DB95-44A8-9765-CC272AECA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25</xdr:row>
      <xdr:rowOff>178859</xdr:rowOff>
    </xdr:from>
    <xdr:to>
      <xdr:col>5</xdr:col>
      <xdr:colOff>542925</xdr:colOff>
      <xdr:row>40</xdr:row>
      <xdr:rowOff>64559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8276AF-190E-4B83-967D-436D911A7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745068</xdr:colOff>
      <xdr:row>25</xdr:row>
      <xdr:rowOff>151342</xdr:rowOff>
    </xdr:from>
    <xdr:to>
      <xdr:col>11</xdr:col>
      <xdr:colOff>704851</xdr:colOff>
      <xdr:row>40</xdr:row>
      <xdr:rowOff>37042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CA06DC4-5CB5-4C73-AC1E-F688FE010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142874</xdr:colOff>
      <xdr:row>40</xdr:row>
      <xdr:rowOff>180975</xdr:rowOff>
    </xdr:from>
    <xdr:to>
      <xdr:col>5</xdr:col>
      <xdr:colOff>542925</xdr:colOff>
      <xdr:row>55</xdr:row>
      <xdr:rowOff>66675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0F710E0-34C3-4CE5-8737-372C8B57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704849</xdr:colOff>
      <xdr:row>40</xdr:row>
      <xdr:rowOff>180975</xdr:rowOff>
    </xdr:from>
    <xdr:to>
      <xdr:col>11</xdr:col>
      <xdr:colOff>638175</xdr:colOff>
      <xdr:row>55</xdr:row>
      <xdr:rowOff>66675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4CC28A7-3D42-487A-861C-0F7CF51F3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26458</xdr:colOff>
      <xdr:row>25</xdr:row>
      <xdr:rowOff>159808</xdr:rowOff>
    </xdr:from>
    <xdr:to>
      <xdr:col>17</xdr:col>
      <xdr:colOff>712258</xdr:colOff>
      <xdr:row>40</xdr:row>
      <xdr:rowOff>7408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DE2FF3D-A8DF-47B6-BDF6-BD5F1CD6C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35718</xdr:colOff>
      <xdr:row>5</xdr:row>
      <xdr:rowOff>71437</xdr:rowOff>
    </xdr:from>
    <xdr:to>
      <xdr:col>14</xdr:col>
      <xdr:colOff>500063</xdr:colOff>
      <xdr:row>15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Mes">
              <a:extLst>
                <a:ext uri="{FF2B5EF4-FFF2-40B4-BE49-F238E27FC236}">
                  <a16:creationId xmlns:a16="http://schemas.microsoft.com/office/drawing/2014/main" id="{D2E054D8-AAEA-4A3B-8D92-209DB6C68E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7051" y="1023937"/>
              <a:ext cx="1988345" cy="19883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607218</xdr:colOff>
      <xdr:row>5</xdr:row>
      <xdr:rowOff>47626</xdr:rowOff>
    </xdr:from>
    <xdr:to>
      <xdr:col>17</xdr:col>
      <xdr:colOff>150018</xdr:colOff>
      <xdr:row>15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ct_Area">
              <a:extLst>
                <a:ext uri="{FF2B5EF4-FFF2-40B4-BE49-F238E27FC236}">
                  <a16:creationId xmlns:a16="http://schemas.microsoft.com/office/drawing/2014/main" id="{0E446BB2-D6CD-49E9-9284-E98CA3555E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2551" y="1000126"/>
              <a:ext cx="1828800" cy="1964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619125</xdr:colOff>
      <xdr:row>16</xdr:row>
      <xdr:rowOff>35720</xdr:rowOff>
    </xdr:from>
    <xdr:to>
      <xdr:col>17</xdr:col>
      <xdr:colOff>161925</xdr:colOff>
      <xdr:row>25</xdr:row>
      <xdr:rowOff>35720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Family">
              <a:extLst>
                <a:ext uri="{FF2B5EF4-FFF2-40B4-BE49-F238E27FC236}">
                  <a16:creationId xmlns:a16="http://schemas.microsoft.com/office/drawing/2014/main" id="{2D540587-7E7E-4777-95CB-C08DEBBA97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64458" y="3083720"/>
              <a:ext cx="18288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35718</xdr:colOff>
      <xdr:row>16</xdr:row>
      <xdr:rowOff>35719</xdr:rowOff>
    </xdr:from>
    <xdr:to>
      <xdr:col>14</xdr:col>
      <xdr:colOff>500062</xdr:colOff>
      <xdr:row>25</xdr:row>
      <xdr:rowOff>11906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Product_Type">
              <a:extLst>
                <a:ext uri="{FF2B5EF4-FFF2-40B4-BE49-F238E27FC236}">
                  <a16:creationId xmlns:a16="http://schemas.microsoft.com/office/drawing/2014/main" id="{AA6B2439-F75B-4FDA-9887-22101CB431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7051" y="3083719"/>
              <a:ext cx="1988344" cy="1690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226218</xdr:colOff>
      <xdr:row>0</xdr:row>
      <xdr:rowOff>23813</xdr:rowOff>
    </xdr:from>
    <xdr:to>
      <xdr:col>16</xdr:col>
      <xdr:colOff>238125</xdr:colOff>
      <xdr:row>4</xdr:row>
      <xdr:rowOff>183545</xdr:rowOff>
    </xdr:to>
    <xdr:pic>
      <xdr:nvPicPr>
        <xdr:cNvPr id="17" name="Imagen 16" descr="logotipo de la herramienta de estudio de diseño gráfico y diseño web  10411806 Vector en Vecteezy">
          <a:extLst>
            <a:ext uri="{FF2B5EF4-FFF2-40B4-BE49-F238E27FC236}">
              <a16:creationId xmlns:a16="http://schemas.microsoft.com/office/drawing/2014/main" id="{CABC2877-9B24-D6AA-723F-AE35DD99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0968" y="23813"/>
          <a:ext cx="1535907" cy="921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Mostra" refreshedDate="46057.698628472222" createdVersion="8" refreshedVersion="8" minRefreshableVersion="3" recordCount="400" xr:uid="{46E6FEF1-6C04-495B-A1EA-DE91B5DB9E87}">
  <cacheSource type="worksheet">
    <worksheetSource name="Tabla1"/>
  </cacheSource>
  <cacheFields count="10">
    <cacheField name="Product_Area" numFmtId="0">
      <sharedItems count="5">
        <s v="Home desk storage"/>
        <s v="Living room furniture"/>
        <s v="Kitchen organization"/>
        <s v="Office essentials"/>
        <s v="Bedroom storage"/>
      </sharedItems>
    </cacheField>
    <cacheField name="Item_Name" numFmtId="0">
      <sharedItems count="25">
        <s v="LAGKAPTEN cabinet"/>
        <s v="LAGKAPTEN drawer unit"/>
        <s v="FJÄLLBO shelf"/>
        <s v="NORDEN storage box"/>
        <s v="KALLAX desk"/>
        <s v="KALLAX drawer unit"/>
        <s v="KALLAX cabinet"/>
        <s v="FJÄLLBO desk"/>
        <s v="FJÄLLBO storage box"/>
        <s v="LAGKAPTEN desk"/>
        <s v="BLÄSTA storage box"/>
        <s v="BLÄSTA cabinet"/>
        <s v="BLÄSTA desk"/>
        <s v="FJÄLLBO cabinet"/>
        <s v="FJÄLLBO drawer unit"/>
        <s v="NORDEN shelf"/>
        <s v="NORDEN cabinet"/>
        <s v="NORDEN desk"/>
        <s v="KALLAX shelf"/>
        <s v="BLÄSTA shelf"/>
        <s v="NORDEN drawer unit"/>
        <s v="BLÄSTA drawer unit"/>
        <s v="LAGKAPTEN shelf"/>
        <s v="LAGKAPTEN storage box"/>
        <s v="KALLAX storage box"/>
      </sharedItems>
    </cacheField>
    <cacheField name="Family" numFmtId="0">
      <sharedItems count="5">
        <s v="LAGKAPTEN"/>
        <s v="FJÄLLBO"/>
        <s v="NORDEN"/>
        <s v="KALLAX"/>
        <s v="BLÄSTA"/>
      </sharedItems>
    </cacheField>
    <cacheField name="Product_Type" numFmtId="0">
      <sharedItems count="5">
        <s v="cabinet"/>
        <s v="drawer unit"/>
        <s v="shelf"/>
        <s v="storage box"/>
        <s v="desk"/>
      </sharedItems>
    </cacheField>
    <cacheField name="Week" numFmtId="0">
      <sharedItems containsSemiMixedTypes="0" containsString="0" containsNumber="1" containsInteger="1" minValue="1" maxValue="52" count="52">
        <n v="18"/>
        <n v="12"/>
        <n v="9"/>
        <n v="43"/>
        <n v="47"/>
        <n v="38"/>
        <n v="1"/>
        <n v="2"/>
        <n v="4"/>
        <n v="46"/>
        <n v="49"/>
        <n v="44"/>
        <n v="48"/>
        <n v="52"/>
        <n v="36"/>
        <n v="42"/>
        <n v="14"/>
        <n v="15"/>
        <n v="51"/>
        <n v="50"/>
        <n v="25"/>
        <n v="32"/>
        <n v="21"/>
        <n v="6"/>
        <n v="23"/>
        <n v="27"/>
        <n v="40"/>
        <n v="35"/>
        <n v="3"/>
        <n v="16"/>
        <n v="7"/>
        <n v="19"/>
        <n v="34"/>
        <n v="10"/>
        <n v="45"/>
        <n v="26"/>
        <n v="11"/>
        <n v="13"/>
        <n v="29"/>
        <n v="28"/>
        <n v="20"/>
        <n v="8"/>
        <n v="37"/>
        <n v="5"/>
        <n v="30"/>
        <n v="31"/>
        <n v="22"/>
        <n v="41"/>
        <n v="33"/>
        <n v="39"/>
        <n v="17"/>
        <n v="24"/>
      </sharedItems>
    </cacheField>
    <cacheField name="Mes" numFmtId="0">
      <sharedItems count="12">
        <s v="agosto"/>
        <s v="julio"/>
        <s v="septiembre"/>
        <s v="octubre"/>
        <s v="enero"/>
        <s v="junio"/>
        <s v="diciembre"/>
        <s v="mayo"/>
        <s v="febrero"/>
        <s v="marzo"/>
        <s v="noviembre"/>
        <s v="abril"/>
      </sharedItems>
    </cacheField>
    <cacheField name="Venta_$" numFmtId="0">
      <sharedItems containsSemiMixedTypes="0" containsString="0" containsNumber="1" containsInteger="1" minValue="1106130" maxValue="12402585" count="400">
        <n v="3356955"/>
        <n v="1421312"/>
        <n v="2349726"/>
        <n v="5139572"/>
        <n v="10998738"/>
        <n v="4445307"/>
        <n v="6541064"/>
        <n v="6161225"/>
        <n v="10229976"/>
        <n v="3665115"/>
        <n v="6697215"/>
        <n v="5856400"/>
        <n v="7407666"/>
        <n v="2171070"/>
        <n v="4124672"/>
        <n v="6592564"/>
        <n v="3403953"/>
        <n v="6337032"/>
        <n v="10019712"/>
        <n v="8580645"/>
        <n v="6328227"/>
        <n v="6401796"/>
        <n v="3835132"/>
        <n v="8566187"/>
        <n v="10504300"/>
        <n v="3147650"/>
        <n v="11041228"/>
        <n v="2696375"/>
        <n v="7062341"/>
        <n v="11195003"/>
        <n v="5875200"/>
        <n v="9598875"/>
        <n v="4876368"/>
        <n v="3407580"/>
        <n v="4500888"/>
        <n v="5027265"/>
        <n v="3431019"/>
        <n v="7099065"/>
        <n v="9720486"/>
        <n v="3595275"/>
        <n v="10313988"/>
        <n v="4969090"/>
        <n v="6033402"/>
        <n v="2952660"/>
        <n v="6469584"/>
        <n v="11377760"/>
        <n v="6182220"/>
        <n v="8831313"/>
        <n v="2422680"/>
        <n v="5966554"/>
        <n v="7348415"/>
        <n v="7462320"/>
        <n v="2479694"/>
        <n v="10832577"/>
        <n v="7825978"/>
        <n v="4875337"/>
        <n v="9889699"/>
        <n v="3914370"/>
        <n v="8555870"/>
        <n v="4401176"/>
        <n v="11891940"/>
        <n v="10718736"/>
        <n v="2552550"/>
        <n v="8763635"/>
        <n v="7876435"/>
        <n v="5319996"/>
        <n v="3656925"/>
        <n v="5521560"/>
        <n v="4153768"/>
        <n v="6081776"/>
        <n v="2804198"/>
        <n v="3105860"/>
        <n v="3188224"/>
        <n v="4973136"/>
        <n v="2843122"/>
        <n v="1545592"/>
        <n v="2890300"/>
        <n v="7958638"/>
        <n v="8040312"/>
        <n v="4731974"/>
        <n v="4863300"/>
        <n v="5494278"/>
        <n v="4437086"/>
        <n v="4339230"/>
        <n v="7155280"/>
        <n v="2689152"/>
        <n v="6206740"/>
        <n v="5269750"/>
        <n v="10896768"/>
        <n v="4774875"/>
        <n v="1205218"/>
        <n v="4752202"/>
        <n v="4217202"/>
        <n v="6806580"/>
        <n v="11235114"/>
        <n v="3368380"/>
        <n v="4521772"/>
        <n v="1746492"/>
        <n v="1291185"/>
        <n v="2554566"/>
        <n v="7508655"/>
        <n v="4546854"/>
        <n v="3470769"/>
        <n v="3883068"/>
        <n v="5358052"/>
        <n v="4625775"/>
        <n v="3010878"/>
        <n v="7717389"/>
        <n v="4529360"/>
        <n v="12010346"/>
        <n v="5982000"/>
        <n v="5175738"/>
        <n v="10332234"/>
        <n v="3249350"/>
        <n v="11755884"/>
        <n v="4461642"/>
        <n v="4586448"/>
        <n v="5591240"/>
        <n v="3409020"/>
        <n v="7932600"/>
        <n v="5886304"/>
        <n v="4440908"/>
        <n v="8599794"/>
        <n v="8448636"/>
        <n v="5471336"/>
        <n v="1892096"/>
        <n v="9029930"/>
        <n v="2886254"/>
        <n v="8565093"/>
        <n v="1414800"/>
        <n v="2797960"/>
        <n v="2354749"/>
        <n v="7044336"/>
        <n v="7547502"/>
        <n v="3224710"/>
        <n v="8906688"/>
        <n v="9026109"/>
        <n v="7365654"/>
        <n v="2843776"/>
        <n v="3552809"/>
        <n v="7139568"/>
        <n v="6007968"/>
        <n v="7705714"/>
        <n v="4525040"/>
        <n v="8561088"/>
        <n v="5987418"/>
        <n v="8844852"/>
        <n v="2048896"/>
        <n v="3404754"/>
        <n v="8599652"/>
        <n v="7885350"/>
        <n v="4762550"/>
        <n v="4253143"/>
        <n v="4482390"/>
        <n v="5468278"/>
        <n v="4945946"/>
        <n v="7548576"/>
        <n v="5193285"/>
        <n v="3247145"/>
        <n v="1657320"/>
        <n v="4372560"/>
        <n v="5812722"/>
        <n v="8105776"/>
        <n v="7973405"/>
        <n v="5344738"/>
        <n v="4761240"/>
        <n v="2120544"/>
        <n v="9810501"/>
        <n v="1351194"/>
        <n v="8079840"/>
        <n v="6478905"/>
        <n v="5412358"/>
        <n v="8401344"/>
        <n v="5060864"/>
        <n v="10826877"/>
        <n v="6972669"/>
        <n v="4087000"/>
        <n v="5703762"/>
        <n v="10310860"/>
        <n v="5355805"/>
        <n v="7726155"/>
        <n v="1639504"/>
        <n v="7813296"/>
        <n v="3240518"/>
        <n v="2873164"/>
        <n v="5359824"/>
        <n v="3347050"/>
        <n v="1250622"/>
        <n v="4597740"/>
        <n v="6489546"/>
        <n v="2809040"/>
        <n v="3767637"/>
        <n v="5576500"/>
        <n v="9812601"/>
        <n v="6964176"/>
        <n v="5377736"/>
        <n v="3201396"/>
        <n v="2865551"/>
        <n v="5878980"/>
        <n v="2187023"/>
        <n v="2540505"/>
        <n v="8786426"/>
        <n v="3016820"/>
        <n v="8920952"/>
        <n v="2559243"/>
        <n v="3214273"/>
        <n v="9151025"/>
        <n v="7885332"/>
        <n v="7448732"/>
        <n v="1767930"/>
        <n v="9206401"/>
        <n v="1799127"/>
        <n v="6655320"/>
        <n v="3186600"/>
        <n v="6892435"/>
        <n v="1936506"/>
        <n v="4634688"/>
        <n v="10826920"/>
        <n v="5722064"/>
        <n v="2421237"/>
        <n v="7506018"/>
        <n v="12402585"/>
        <n v="2914860"/>
        <n v="5445330"/>
        <n v="5322538"/>
        <n v="4455704"/>
        <n v="6241500"/>
        <n v="4393764"/>
        <n v="9288916"/>
        <n v="11188948"/>
        <n v="9591800"/>
        <n v="11608545"/>
        <n v="6326218"/>
        <n v="10742550"/>
        <n v="8045631"/>
        <n v="7886148"/>
        <n v="1531360"/>
        <n v="2744274"/>
        <n v="8767578"/>
        <n v="11522000"/>
        <n v="7438542"/>
        <n v="1831880"/>
        <n v="9287840"/>
        <n v="3813147"/>
        <n v="3147174"/>
        <n v="4332163"/>
        <n v="9575061"/>
        <n v="7585812"/>
        <n v="11071866"/>
        <n v="4747050"/>
        <n v="8978618"/>
        <n v="6362930"/>
        <n v="4027050"/>
        <n v="4611446"/>
        <n v="11703098"/>
        <n v="10521420"/>
        <n v="3205916"/>
        <n v="7747278"/>
        <n v="3731382"/>
        <n v="6812652"/>
        <n v="5324830"/>
        <n v="11502216"/>
        <n v="1915350"/>
        <n v="8618728"/>
        <n v="6255195"/>
        <n v="7045248"/>
        <n v="8679474"/>
        <n v="10261176"/>
        <n v="7837344"/>
        <n v="3802955"/>
        <n v="1508527"/>
        <n v="4910220"/>
        <n v="2502048"/>
        <n v="7218305"/>
        <n v="7230717"/>
        <n v="11036220"/>
        <n v="3900480"/>
        <n v="2149665"/>
        <n v="10672636"/>
        <n v="2806505"/>
        <n v="8389184"/>
        <n v="5015904"/>
        <n v="10623420"/>
        <n v="7683249"/>
        <n v="1727109"/>
        <n v="1846656"/>
        <n v="2605740"/>
        <n v="7057962"/>
        <n v="3050742"/>
        <n v="9438560"/>
        <n v="5220320"/>
        <n v="7839419"/>
        <n v="1493394"/>
        <n v="8344380"/>
        <n v="9392160"/>
        <n v="4168623"/>
        <n v="1910400"/>
        <n v="11828374"/>
        <n v="3927546"/>
        <n v="3554700"/>
        <n v="1573220"/>
        <n v="8789760"/>
        <n v="4653696"/>
        <n v="5084961"/>
        <n v="9965136"/>
        <n v="5714220"/>
        <n v="6110784"/>
        <n v="10885206"/>
        <n v="6411360"/>
        <n v="5628904"/>
        <n v="7111530"/>
        <n v="2940387"/>
        <n v="8061468"/>
        <n v="5793136"/>
        <n v="11041090"/>
        <n v="1995378"/>
        <n v="9755709"/>
        <n v="7837128"/>
        <n v="7997223"/>
        <n v="2224514"/>
        <n v="6931288"/>
        <n v="2970150"/>
        <n v="1106130"/>
        <n v="6661300"/>
        <n v="3646704"/>
        <n v="7726400"/>
        <n v="1709720"/>
        <n v="3450884"/>
        <n v="4222329"/>
        <n v="5840208"/>
        <n v="2846004"/>
        <n v="4530634"/>
        <n v="3581964"/>
        <n v="1974995"/>
        <n v="4267272"/>
        <n v="7785492"/>
        <n v="5121603"/>
        <n v="2814306"/>
        <n v="3908337"/>
        <n v="8144544"/>
        <n v="2503744"/>
        <n v="2580570"/>
        <n v="2492750"/>
        <n v="11782280"/>
        <n v="8724249"/>
        <n v="1893330"/>
        <n v="3599630"/>
        <n v="6864176"/>
        <n v="6950613"/>
        <n v="8913056"/>
        <n v="6284290"/>
        <n v="2998100"/>
        <n v="8678145"/>
        <n v="1897720"/>
        <n v="3694281"/>
        <n v="7001310"/>
        <n v="5653400"/>
        <n v="1899768"/>
        <n v="7506261"/>
        <n v="5512782"/>
        <n v="7988485"/>
        <n v="4130184"/>
        <n v="5348880"/>
        <n v="2129904"/>
        <n v="8657376"/>
        <n v="7755979"/>
        <n v="9502675"/>
        <n v="7310394"/>
        <n v="4280280"/>
        <n v="7325815"/>
        <n v="3612994"/>
        <n v="6667111"/>
        <n v="2834590"/>
        <n v="2732990"/>
        <n v="3099888"/>
        <n v="7722117"/>
        <n v="4286040"/>
        <n v="10417498"/>
        <n v="7803315"/>
        <n v="4548800"/>
        <n v="3490476"/>
        <n v="6708128"/>
        <n v="6817104"/>
        <n v="2863446"/>
        <n v="1910412"/>
        <n v="8667728"/>
        <n v="5223450"/>
        <n v="8931420"/>
        <n v="5248902"/>
        <n v="7082400"/>
        <n v="3812536"/>
        <n v="5518988"/>
        <n v="7366537"/>
        <n v="2177516"/>
        <n v="7447484"/>
        <n v="6078311"/>
        <n v="3554820"/>
        <n v="7276800"/>
        <n v="7877870"/>
        <n v="6904800"/>
      </sharedItems>
    </cacheField>
    <cacheField name="Venta_Und" numFmtId="0">
      <sharedItems containsSemiMixedTypes="0" containsString="0" containsNumber="1" containsInteger="1" minValue="30" maxValue="200"/>
    </cacheField>
    <cacheField name="Inventario" numFmtId="0">
      <sharedItems containsSemiMixedTypes="0" containsString="0" containsNumber="1" containsInteger="1" minValue="2" maxValue="892"/>
    </cacheField>
    <cacheField name="Precio_promedio_por_unidad" numFmtId="0">
      <sharedItems containsSemiMixedTypes="0" containsString="0" containsNumber="1" containsInteger="1" minValue="35066" maxValue="64987" count="400">
        <n v="53285"/>
        <n v="44416"/>
        <n v="51081"/>
        <n v="57748"/>
        <n v="59133"/>
        <n v="39339"/>
        <n v="39404"/>
        <n v="56525"/>
        <n v="63148"/>
        <n v="43119"/>
        <n v="39165"/>
        <n v="48400"/>
        <n v="58791"/>
        <n v="39474"/>
        <n v="64448"/>
        <n v="54484"/>
        <n v="47943"/>
        <n v="41691"/>
        <n v="51648"/>
        <n v="55359"/>
        <n v="51449"/>
        <n v="42396"/>
        <n v="56399"/>
        <n v="47327"/>
        <n v="56780"/>
        <n v="57230"/>
        <n v="59044"/>
        <n v="49025"/>
        <n v="41789"/>
        <n v="64711"/>
        <n v="39168"/>
        <n v="58175"/>
        <n v="58052"/>
        <n v="61956"/>
        <n v="53582"/>
        <n v="62065"/>
        <n v="39437"/>
        <n v="61731"/>
        <n v="60003"/>
        <n v="63075"/>
        <n v="63276"/>
        <n v="50705"/>
        <n v="39434"/>
        <n v="49211"/>
        <n v="49012"/>
        <n v="63920"/>
        <n v="37468"/>
        <n v="57721"/>
        <n v="46590"/>
        <n v="37763"/>
        <n v="48665"/>
        <n v="42160"/>
        <n v="50606"/>
        <n v="61201"/>
        <n v="56302"/>
        <n v="58739"/>
        <n v="60673"/>
        <n v="56730"/>
        <n v="59006"/>
        <n v="42319"/>
        <n v="63255"/>
        <n v="63802"/>
        <n v="51051"/>
        <n v="47371"/>
        <n v="56665"/>
        <n v="64878"/>
        <n v="48759"/>
        <n v="62040"/>
        <n v="56132"/>
        <n v="41656"/>
        <n v="45229"/>
        <n v="37420"/>
        <n v="49816"/>
        <n v="44403"/>
        <n v="61807"/>
        <n v="35944"/>
        <n v="41290"/>
        <n v="48826"/>
        <n v="62328"/>
        <n v="57707"/>
        <n v="62350"/>
        <n v="49498"/>
        <n v="60782"/>
        <n v="61989"/>
        <n v="41360"/>
        <n v="42018"/>
        <n v="37390"/>
        <n v="49250"/>
        <n v="56754"/>
        <n v="40125"/>
        <n v="38878"/>
        <n v="52222"/>
        <n v="36993"/>
        <n v="41252"/>
        <n v="56743"/>
        <n v="39628"/>
        <n v="59497"/>
        <n v="39693"/>
        <n v="36891"/>
        <n v="60823"/>
        <n v="45507"/>
        <n v="58293"/>
        <n v="50301"/>
        <n v="51093"/>
        <n v="54674"/>
        <n v="46725"/>
        <n v="55757"/>
        <n v="62743"/>
        <n v="41176"/>
        <n v="61909"/>
        <n v="49850"/>
        <n v="60183"/>
        <n v="52183"/>
        <n v="64987"/>
        <n v="59979"/>
        <n v="55082"/>
        <n v="48792"/>
        <n v="49480"/>
        <n v="37878"/>
        <n v="61020"/>
        <n v="50744"/>
        <n v="58433"/>
        <n v="58502"/>
        <n v="61222"/>
        <n v="52609"/>
        <n v="59128"/>
        <n v="49615"/>
        <n v="49763"/>
        <n v="55981"/>
        <n v="35370"/>
        <n v="50872"/>
        <n v="39911"/>
        <n v="60208"/>
        <n v="47769"/>
        <n v="48130"/>
        <n v="47376"/>
        <n v="49323"/>
        <n v="45467"/>
        <n v="54688"/>
        <n v="53027"/>
        <n v="38802"/>
        <n v="43536"/>
        <n v="46142"/>
        <n v="56563"/>
        <n v="51264"/>
        <n v="52986"/>
        <n v="55628"/>
        <n v="64028"/>
        <n v="63051"/>
        <n v="61868"/>
        <n v="39825"/>
        <n v="56030"/>
        <n v="39749"/>
        <n v="47685"/>
        <n v="38509"/>
        <n v="57511"/>
        <n v="40152"/>
        <n v="45159"/>
        <n v="59039"/>
        <n v="39460"/>
        <n v="36438"/>
        <n v="54837"/>
        <n v="41356"/>
        <n v="54989"/>
        <n v="40186"/>
        <n v="43284"/>
        <n v="58904"/>
        <n v="49299"/>
        <n v="39741"/>
        <n v="52128"/>
        <n v="51015"/>
        <n v="45482"/>
        <n v="57152"/>
        <n v="47744"/>
        <n v="59817"/>
        <n v="45573"/>
        <n v="40870"/>
        <n v="50033"/>
        <n v="54845"/>
        <n v="35945"/>
        <n v="41763"/>
        <n v="38128"/>
        <n v="54259"/>
        <n v="55871"/>
        <n v="58636"/>
        <n v="49628"/>
        <n v="45850"/>
        <n v="36783"/>
        <n v="54735"/>
        <n v="53193"/>
        <n v="43216"/>
        <n v="36579"/>
        <n v="55765"/>
        <n v="54819"/>
        <n v="60036"/>
        <n v="60424"/>
        <n v="48506"/>
        <n v="54067"/>
        <n v="54435"/>
        <n v="50861"/>
        <n v="46191"/>
        <n v="60181"/>
        <n v="39695"/>
        <n v="51866"/>
        <n v="43377"/>
        <n v="52693"/>
        <n v="49465"/>
        <n v="47502"/>
        <n v="53588"/>
        <n v="57030"/>
        <n v="46733"/>
        <n v="54519"/>
        <n v="50040"/>
        <n v="42488"/>
        <n v="60995"/>
        <n v="49654"/>
        <n v="45888"/>
        <n v="57590"/>
        <n v="52496"/>
        <n v="49413"/>
        <n v="64154"/>
        <n v="63603"/>
        <n v="48581"/>
        <n v="49503"/>
        <n v="64909"/>
        <n v="36824"/>
        <n v="62415"/>
        <n v="61884"/>
        <n v="51038"/>
        <n v="64676"/>
        <n v="47959"/>
        <n v="59531"/>
        <n v="35342"/>
        <n v="55090"/>
        <n v="44451"/>
        <n v="57146"/>
        <n v="47855"/>
        <n v="35183"/>
        <n v="55491"/>
        <n v="57610"/>
        <n v="38343"/>
        <n v="44680"/>
        <n v="58049"/>
        <n v="55263"/>
        <n v="38854"/>
        <n v="35803"/>
        <n v="63411"/>
        <n v="46826"/>
        <n v="61854"/>
        <n v="61650"/>
        <n v="48014"/>
        <n v="53470"/>
        <n v="44745"/>
        <n v="51814"/>
        <n v="64658"/>
        <n v="55965"/>
        <n v="52556"/>
        <n v="50307"/>
        <n v="54078"/>
        <n v="44238"/>
        <n v="54335"/>
        <n v="61182"/>
        <n v="38307"/>
        <n v="63373"/>
        <n v="54393"/>
        <n v="62904"/>
        <n v="53577"/>
        <n v="59658"/>
        <n v="41688"/>
        <n v="58507"/>
        <n v="40771"/>
        <n v="45465"/>
        <n v="52126"/>
        <n v="48445"/>
        <n v="61801"/>
        <n v="56596"/>
        <n v="48756"/>
        <n v="36435"/>
        <n v="63908"/>
        <n v="43177"/>
        <n v="55192"/>
        <n v="52249"/>
        <n v="55620"/>
        <n v="52267"/>
        <n v="36747"/>
        <n v="43968"/>
        <n v="43429"/>
        <n v="40563"/>
        <n v="35066"/>
        <n v="58991"/>
        <n v="37288"/>
        <n v="58943"/>
        <n v="40362"/>
        <n v="59180"/>
        <n v="58701"/>
        <n v="58713"/>
        <n v="63680"/>
        <n v="60971"/>
        <n v="62342"/>
        <n v="41820"/>
        <n v="35755"/>
        <n v="54936"/>
        <n v="48476"/>
        <n v="54677"/>
        <n v="55056"/>
        <n v="43620"/>
        <n v="59328"/>
        <n v="59482"/>
        <n v="56240"/>
        <n v="41389"/>
        <n v="52678"/>
        <n v="55479"/>
        <n v="46869"/>
        <n v="35324"/>
        <n v="58111"/>
        <n v="40722"/>
        <n v="55117"/>
        <n v="50238"/>
        <n v="50297"/>
        <n v="60122"/>
        <n v="38084"/>
        <n v="39602"/>
        <n v="36871"/>
        <n v="57425"/>
        <n v="44472"/>
        <n v="48290"/>
        <n v="42743"/>
        <n v="48604"/>
        <n v="38039"/>
        <n v="58992"/>
        <n v="41853"/>
        <n v="50906"/>
        <n v="38106"/>
        <n v="35909"/>
        <n v="62754"/>
        <n v="58981"/>
        <n v="58869"/>
        <n v="42641"/>
        <n v="55047"/>
        <n v="47352"/>
        <n v="43168"/>
        <n v="48690"/>
        <n v="49855"/>
        <n v="63688"/>
        <n v="53523"/>
        <n v="63111"/>
        <n v="49310"/>
        <n v="39908"/>
        <n v="39269"/>
        <n v="62768"/>
        <n v="35305"/>
        <n v="59962"/>
        <n v="59035"/>
        <n v="43130"/>
        <n v="42463"/>
        <n v="40470"/>
        <n v="61450"/>
        <n v="48712"/>
        <n v="51063"/>
        <n v="54582"/>
        <n v="55093"/>
        <n v="40492"/>
        <n v="46512"/>
        <n v="38034"/>
        <n v="55496"/>
        <n v="64099"/>
        <n v="54301"/>
        <n v="58019"/>
        <n v="35669"/>
        <n v="39599"/>
        <n v="62293"/>
        <n v="35653"/>
        <n v="51538"/>
        <n v="42046"/>
        <n v="54384"/>
        <n v="45693"/>
        <n v="48705"/>
        <n v="57239"/>
        <n v="40017"/>
        <n v="56860"/>
        <n v="56298"/>
        <n v="59894"/>
        <n v="40578"/>
        <n v="56146"/>
        <n v="45486"/>
        <n v="47888"/>
        <n v="53850"/>
        <n v="50460"/>
        <n v="46043"/>
        <n v="35412"/>
        <n v="36659"/>
        <n v="59989"/>
        <n v="44111"/>
        <n v="49489"/>
        <n v="38588"/>
        <n v="62663"/>
        <n v="59247"/>
        <n v="60640"/>
        <n v="43285"/>
        <n v="39456"/>
      </sharedItems>
    </cacheField>
  </cacheFields>
  <extLst>
    <ext xmlns:x14="http://schemas.microsoft.com/office/spreadsheetml/2009/9/main" uri="{725AE2AE-9491-48be-B2B4-4EB974FC3084}">
      <x14:pivotCacheDefinition pivotCacheId="15986465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x v="0"/>
    <x v="0"/>
    <x v="0"/>
    <x v="0"/>
    <x v="0"/>
    <x v="0"/>
    <n v="63"/>
    <n v="162"/>
    <x v="0"/>
  </r>
  <r>
    <x v="1"/>
    <x v="1"/>
    <x v="0"/>
    <x v="1"/>
    <x v="1"/>
    <x v="0"/>
    <x v="1"/>
    <n v="32"/>
    <n v="716"/>
    <x v="1"/>
  </r>
  <r>
    <x v="2"/>
    <x v="2"/>
    <x v="1"/>
    <x v="2"/>
    <x v="2"/>
    <x v="1"/>
    <x v="2"/>
    <n v="46"/>
    <n v="881"/>
    <x v="2"/>
  </r>
  <r>
    <x v="0"/>
    <x v="3"/>
    <x v="2"/>
    <x v="3"/>
    <x v="3"/>
    <x v="2"/>
    <x v="3"/>
    <n v="89"/>
    <n v="835"/>
    <x v="3"/>
  </r>
  <r>
    <x v="2"/>
    <x v="4"/>
    <x v="3"/>
    <x v="4"/>
    <x v="4"/>
    <x v="3"/>
    <x v="4"/>
    <n v="186"/>
    <n v="632"/>
    <x v="4"/>
  </r>
  <r>
    <x v="3"/>
    <x v="5"/>
    <x v="3"/>
    <x v="1"/>
    <x v="5"/>
    <x v="4"/>
    <x v="5"/>
    <n v="113"/>
    <n v="844"/>
    <x v="5"/>
  </r>
  <r>
    <x v="2"/>
    <x v="6"/>
    <x v="3"/>
    <x v="0"/>
    <x v="6"/>
    <x v="5"/>
    <x v="6"/>
    <n v="166"/>
    <n v="299"/>
    <x v="6"/>
  </r>
  <r>
    <x v="3"/>
    <x v="7"/>
    <x v="1"/>
    <x v="4"/>
    <x v="7"/>
    <x v="1"/>
    <x v="7"/>
    <n v="109"/>
    <n v="803"/>
    <x v="7"/>
  </r>
  <r>
    <x v="4"/>
    <x v="8"/>
    <x v="1"/>
    <x v="3"/>
    <x v="8"/>
    <x v="6"/>
    <x v="8"/>
    <n v="162"/>
    <n v="861"/>
    <x v="8"/>
  </r>
  <r>
    <x v="3"/>
    <x v="9"/>
    <x v="0"/>
    <x v="4"/>
    <x v="9"/>
    <x v="2"/>
    <x v="9"/>
    <n v="85"/>
    <n v="96"/>
    <x v="9"/>
  </r>
  <r>
    <x v="3"/>
    <x v="9"/>
    <x v="0"/>
    <x v="4"/>
    <x v="3"/>
    <x v="0"/>
    <x v="10"/>
    <n v="171"/>
    <n v="875"/>
    <x v="10"/>
  </r>
  <r>
    <x v="2"/>
    <x v="7"/>
    <x v="1"/>
    <x v="4"/>
    <x v="10"/>
    <x v="5"/>
    <x v="11"/>
    <n v="121"/>
    <n v="139"/>
    <x v="11"/>
  </r>
  <r>
    <x v="2"/>
    <x v="10"/>
    <x v="4"/>
    <x v="3"/>
    <x v="9"/>
    <x v="7"/>
    <x v="12"/>
    <n v="126"/>
    <n v="256"/>
    <x v="12"/>
  </r>
  <r>
    <x v="1"/>
    <x v="11"/>
    <x v="4"/>
    <x v="0"/>
    <x v="10"/>
    <x v="8"/>
    <x v="13"/>
    <n v="55"/>
    <n v="392"/>
    <x v="13"/>
  </r>
  <r>
    <x v="1"/>
    <x v="11"/>
    <x v="4"/>
    <x v="0"/>
    <x v="11"/>
    <x v="9"/>
    <x v="14"/>
    <n v="64"/>
    <n v="741"/>
    <x v="14"/>
  </r>
  <r>
    <x v="0"/>
    <x v="6"/>
    <x v="3"/>
    <x v="0"/>
    <x v="10"/>
    <x v="5"/>
    <x v="15"/>
    <n v="121"/>
    <n v="841"/>
    <x v="15"/>
  </r>
  <r>
    <x v="3"/>
    <x v="12"/>
    <x v="4"/>
    <x v="4"/>
    <x v="12"/>
    <x v="5"/>
    <x v="16"/>
    <n v="71"/>
    <n v="53"/>
    <x v="16"/>
  </r>
  <r>
    <x v="2"/>
    <x v="8"/>
    <x v="1"/>
    <x v="3"/>
    <x v="13"/>
    <x v="1"/>
    <x v="17"/>
    <n v="152"/>
    <n v="509"/>
    <x v="17"/>
  </r>
  <r>
    <x v="1"/>
    <x v="10"/>
    <x v="4"/>
    <x v="3"/>
    <x v="14"/>
    <x v="0"/>
    <x v="18"/>
    <n v="194"/>
    <n v="681"/>
    <x v="18"/>
  </r>
  <r>
    <x v="2"/>
    <x v="3"/>
    <x v="2"/>
    <x v="3"/>
    <x v="9"/>
    <x v="5"/>
    <x v="19"/>
    <n v="155"/>
    <n v="613"/>
    <x v="19"/>
  </r>
  <r>
    <x v="0"/>
    <x v="13"/>
    <x v="1"/>
    <x v="0"/>
    <x v="6"/>
    <x v="3"/>
    <x v="20"/>
    <n v="123"/>
    <n v="272"/>
    <x v="20"/>
  </r>
  <r>
    <x v="3"/>
    <x v="1"/>
    <x v="0"/>
    <x v="1"/>
    <x v="15"/>
    <x v="4"/>
    <x v="21"/>
    <n v="151"/>
    <n v="451"/>
    <x v="21"/>
  </r>
  <r>
    <x v="3"/>
    <x v="7"/>
    <x v="1"/>
    <x v="4"/>
    <x v="16"/>
    <x v="10"/>
    <x v="22"/>
    <n v="68"/>
    <n v="827"/>
    <x v="22"/>
  </r>
  <r>
    <x v="3"/>
    <x v="3"/>
    <x v="2"/>
    <x v="3"/>
    <x v="8"/>
    <x v="7"/>
    <x v="23"/>
    <n v="181"/>
    <n v="343"/>
    <x v="23"/>
  </r>
  <r>
    <x v="0"/>
    <x v="14"/>
    <x v="1"/>
    <x v="1"/>
    <x v="17"/>
    <x v="10"/>
    <x v="24"/>
    <n v="185"/>
    <n v="751"/>
    <x v="24"/>
  </r>
  <r>
    <x v="0"/>
    <x v="15"/>
    <x v="2"/>
    <x v="2"/>
    <x v="2"/>
    <x v="8"/>
    <x v="25"/>
    <n v="55"/>
    <n v="61"/>
    <x v="25"/>
  </r>
  <r>
    <x v="4"/>
    <x v="16"/>
    <x v="2"/>
    <x v="0"/>
    <x v="18"/>
    <x v="10"/>
    <x v="26"/>
    <n v="187"/>
    <n v="540"/>
    <x v="26"/>
  </r>
  <r>
    <x v="3"/>
    <x v="17"/>
    <x v="2"/>
    <x v="4"/>
    <x v="2"/>
    <x v="1"/>
    <x v="27"/>
    <n v="55"/>
    <n v="2"/>
    <x v="27"/>
  </r>
  <r>
    <x v="2"/>
    <x v="17"/>
    <x v="2"/>
    <x v="4"/>
    <x v="19"/>
    <x v="10"/>
    <x v="28"/>
    <n v="169"/>
    <n v="829"/>
    <x v="28"/>
  </r>
  <r>
    <x v="1"/>
    <x v="1"/>
    <x v="0"/>
    <x v="1"/>
    <x v="20"/>
    <x v="7"/>
    <x v="29"/>
    <n v="173"/>
    <n v="672"/>
    <x v="29"/>
  </r>
  <r>
    <x v="0"/>
    <x v="7"/>
    <x v="1"/>
    <x v="4"/>
    <x v="21"/>
    <x v="6"/>
    <x v="30"/>
    <n v="150"/>
    <n v="864"/>
    <x v="30"/>
  </r>
  <r>
    <x v="0"/>
    <x v="18"/>
    <x v="3"/>
    <x v="2"/>
    <x v="21"/>
    <x v="5"/>
    <x v="31"/>
    <n v="165"/>
    <n v="291"/>
    <x v="31"/>
  </r>
  <r>
    <x v="0"/>
    <x v="11"/>
    <x v="4"/>
    <x v="0"/>
    <x v="22"/>
    <x v="7"/>
    <x v="32"/>
    <n v="84"/>
    <n v="429"/>
    <x v="32"/>
  </r>
  <r>
    <x v="2"/>
    <x v="15"/>
    <x v="2"/>
    <x v="2"/>
    <x v="12"/>
    <x v="2"/>
    <x v="33"/>
    <n v="55"/>
    <n v="26"/>
    <x v="33"/>
  </r>
  <r>
    <x v="0"/>
    <x v="19"/>
    <x v="4"/>
    <x v="2"/>
    <x v="23"/>
    <x v="8"/>
    <x v="34"/>
    <n v="84"/>
    <n v="289"/>
    <x v="34"/>
  </r>
  <r>
    <x v="1"/>
    <x v="3"/>
    <x v="2"/>
    <x v="3"/>
    <x v="24"/>
    <x v="2"/>
    <x v="35"/>
    <n v="81"/>
    <n v="739"/>
    <x v="35"/>
  </r>
  <r>
    <x v="1"/>
    <x v="15"/>
    <x v="2"/>
    <x v="2"/>
    <x v="25"/>
    <x v="0"/>
    <x v="36"/>
    <n v="87"/>
    <n v="14"/>
    <x v="36"/>
  </r>
  <r>
    <x v="4"/>
    <x v="10"/>
    <x v="4"/>
    <x v="3"/>
    <x v="26"/>
    <x v="7"/>
    <x v="37"/>
    <n v="115"/>
    <n v="284"/>
    <x v="37"/>
  </r>
  <r>
    <x v="4"/>
    <x v="20"/>
    <x v="2"/>
    <x v="1"/>
    <x v="27"/>
    <x v="5"/>
    <x v="38"/>
    <n v="162"/>
    <n v="818"/>
    <x v="38"/>
  </r>
  <r>
    <x v="3"/>
    <x v="14"/>
    <x v="1"/>
    <x v="1"/>
    <x v="28"/>
    <x v="9"/>
    <x v="39"/>
    <n v="57"/>
    <n v="50"/>
    <x v="39"/>
  </r>
  <r>
    <x v="0"/>
    <x v="15"/>
    <x v="2"/>
    <x v="2"/>
    <x v="6"/>
    <x v="7"/>
    <x v="40"/>
    <n v="163"/>
    <n v="194"/>
    <x v="40"/>
  </r>
  <r>
    <x v="2"/>
    <x v="21"/>
    <x v="4"/>
    <x v="1"/>
    <x v="29"/>
    <x v="7"/>
    <x v="41"/>
    <n v="98"/>
    <n v="388"/>
    <x v="41"/>
  </r>
  <r>
    <x v="2"/>
    <x v="11"/>
    <x v="4"/>
    <x v="0"/>
    <x v="16"/>
    <x v="2"/>
    <x v="42"/>
    <n v="153"/>
    <n v="583"/>
    <x v="42"/>
  </r>
  <r>
    <x v="4"/>
    <x v="22"/>
    <x v="0"/>
    <x v="2"/>
    <x v="30"/>
    <x v="5"/>
    <x v="43"/>
    <n v="60"/>
    <n v="846"/>
    <x v="43"/>
  </r>
  <r>
    <x v="4"/>
    <x v="22"/>
    <x v="0"/>
    <x v="2"/>
    <x v="22"/>
    <x v="1"/>
    <x v="44"/>
    <n v="132"/>
    <n v="706"/>
    <x v="44"/>
  </r>
  <r>
    <x v="2"/>
    <x v="22"/>
    <x v="0"/>
    <x v="2"/>
    <x v="31"/>
    <x v="2"/>
    <x v="45"/>
    <n v="178"/>
    <n v="739"/>
    <x v="45"/>
  </r>
  <r>
    <x v="3"/>
    <x v="16"/>
    <x v="2"/>
    <x v="0"/>
    <x v="13"/>
    <x v="0"/>
    <x v="46"/>
    <n v="165"/>
    <n v="84"/>
    <x v="46"/>
  </r>
  <r>
    <x v="3"/>
    <x v="18"/>
    <x v="3"/>
    <x v="2"/>
    <x v="29"/>
    <x v="8"/>
    <x v="47"/>
    <n v="153"/>
    <n v="776"/>
    <x v="47"/>
  </r>
  <r>
    <x v="4"/>
    <x v="9"/>
    <x v="0"/>
    <x v="4"/>
    <x v="29"/>
    <x v="5"/>
    <x v="48"/>
    <n v="52"/>
    <n v="839"/>
    <x v="48"/>
  </r>
  <r>
    <x v="3"/>
    <x v="23"/>
    <x v="0"/>
    <x v="3"/>
    <x v="5"/>
    <x v="0"/>
    <x v="49"/>
    <n v="158"/>
    <n v="43"/>
    <x v="49"/>
  </r>
  <r>
    <x v="2"/>
    <x v="1"/>
    <x v="0"/>
    <x v="1"/>
    <x v="5"/>
    <x v="6"/>
    <x v="50"/>
    <n v="151"/>
    <n v="372"/>
    <x v="50"/>
  </r>
  <r>
    <x v="3"/>
    <x v="7"/>
    <x v="1"/>
    <x v="4"/>
    <x v="32"/>
    <x v="5"/>
    <x v="51"/>
    <n v="177"/>
    <n v="504"/>
    <x v="51"/>
  </r>
  <r>
    <x v="1"/>
    <x v="14"/>
    <x v="1"/>
    <x v="1"/>
    <x v="21"/>
    <x v="5"/>
    <x v="52"/>
    <n v="49"/>
    <n v="493"/>
    <x v="52"/>
  </r>
  <r>
    <x v="4"/>
    <x v="21"/>
    <x v="4"/>
    <x v="1"/>
    <x v="14"/>
    <x v="3"/>
    <x v="53"/>
    <n v="177"/>
    <n v="787"/>
    <x v="53"/>
  </r>
  <r>
    <x v="1"/>
    <x v="12"/>
    <x v="4"/>
    <x v="4"/>
    <x v="3"/>
    <x v="9"/>
    <x v="54"/>
    <n v="139"/>
    <n v="751"/>
    <x v="54"/>
  </r>
  <r>
    <x v="3"/>
    <x v="5"/>
    <x v="3"/>
    <x v="1"/>
    <x v="33"/>
    <x v="6"/>
    <x v="55"/>
    <n v="83"/>
    <n v="150"/>
    <x v="55"/>
  </r>
  <r>
    <x v="3"/>
    <x v="14"/>
    <x v="1"/>
    <x v="1"/>
    <x v="34"/>
    <x v="11"/>
    <x v="56"/>
    <n v="163"/>
    <n v="755"/>
    <x v="56"/>
  </r>
  <r>
    <x v="2"/>
    <x v="5"/>
    <x v="3"/>
    <x v="1"/>
    <x v="23"/>
    <x v="11"/>
    <x v="57"/>
    <n v="69"/>
    <n v="580"/>
    <x v="57"/>
  </r>
  <r>
    <x v="0"/>
    <x v="20"/>
    <x v="2"/>
    <x v="1"/>
    <x v="3"/>
    <x v="3"/>
    <x v="58"/>
    <n v="145"/>
    <n v="110"/>
    <x v="58"/>
  </r>
  <r>
    <x v="4"/>
    <x v="16"/>
    <x v="2"/>
    <x v="0"/>
    <x v="16"/>
    <x v="4"/>
    <x v="59"/>
    <n v="104"/>
    <n v="534"/>
    <x v="59"/>
  </r>
  <r>
    <x v="4"/>
    <x v="1"/>
    <x v="0"/>
    <x v="1"/>
    <x v="6"/>
    <x v="7"/>
    <x v="60"/>
    <n v="188"/>
    <n v="723"/>
    <x v="60"/>
  </r>
  <r>
    <x v="4"/>
    <x v="13"/>
    <x v="1"/>
    <x v="0"/>
    <x v="2"/>
    <x v="1"/>
    <x v="61"/>
    <n v="168"/>
    <n v="670"/>
    <x v="61"/>
  </r>
  <r>
    <x v="0"/>
    <x v="24"/>
    <x v="3"/>
    <x v="3"/>
    <x v="35"/>
    <x v="8"/>
    <x v="62"/>
    <n v="50"/>
    <n v="424"/>
    <x v="62"/>
  </r>
  <r>
    <x v="3"/>
    <x v="24"/>
    <x v="3"/>
    <x v="3"/>
    <x v="9"/>
    <x v="5"/>
    <x v="63"/>
    <n v="185"/>
    <n v="133"/>
    <x v="63"/>
  </r>
  <r>
    <x v="2"/>
    <x v="24"/>
    <x v="3"/>
    <x v="3"/>
    <x v="2"/>
    <x v="11"/>
    <x v="64"/>
    <n v="139"/>
    <n v="283"/>
    <x v="64"/>
  </r>
  <r>
    <x v="4"/>
    <x v="12"/>
    <x v="4"/>
    <x v="4"/>
    <x v="4"/>
    <x v="1"/>
    <x v="65"/>
    <n v="82"/>
    <n v="307"/>
    <x v="65"/>
  </r>
  <r>
    <x v="1"/>
    <x v="12"/>
    <x v="4"/>
    <x v="4"/>
    <x v="36"/>
    <x v="10"/>
    <x v="66"/>
    <n v="75"/>
    <n v="43"/>
    <x v="66"/>
  </r>
  <r>
    <x v="4"/>
    <x v="9"/>
    <x v="0"/>
    <x v="4"/>
    <x v="37"/>
    <x v="5"/>
    <x v="67"/>
    <n v="89"/>
    <n v="232"/>
    <x v="67"/>
  </r>
  <r>
    <x v="1"/>
    <x v="4"/>
    <x v="3"/>
    <x v="4"/>
    <x v="26"/>
    <x v="9"/>
    <x v="68"/>
    <n v="74"/>
    <n v="23"/>
    <x v="68"/>
  </r>
  <r>
    <x v="2"/>
    <x v="14"/>
    <x v="1"/>
    <x v="1"/>
    <x v="26"/>
    <x v="3"/>
    <x v="69"/>
    <n v="146"/>
    <n v="637"/>
    <x v="69"/>
  </r>
  <r>
    <x v="4"/>
    <x v="5"/>
    <x v="3"/>
    <x v="1"/>
    <x v="38"/>
    <x v="5"/>
    <x v="70"/>
    <n v="62"/>
    <n v="515"/>
    <x v="70"/>
  </r>
  <r>
    <x v="1"/>
    <x v="17"/>
    <x v="2"/>
    <x v="4"/>
    <x v="28"/>
    <x v="1"/>
    <x v="71"/>
    <n v="83"/>
    <n v="70"/>
    <x v="71"/>
  </r>
  <r>
    <x v="3"/>
    <x v="21"/>
    <x v="4"/>
    <x v="1"/>
    <x v="15"/>
    <x v="8"/>
    <x v="72"/>
    <n v="64"/>
    <n v="179"/>
    <x v="72"/>
  </r>
  <r>
    <x v="4"/>
    <x v="4"/>
    <x v="3"/>
    <x v="4"/>
    <x v="6"/>
    <x v="1"/>
    <x v="73"/>
    <n v="112"/>
    <n v="280"/>
    <x v="73"/>
  </r>
  <r>
    <x v="1"/>
    <x v="10"/>
    <x v="4"/>
    <x v="3"/>
    <x v="33"/>
    <x v="6"/>
    <x v="74"/>
    <n v="46"/>
    <n v="892"/>
    <x v="74"/>
  </r>
  <r>
    <x v="4"/>
    <x v="0"/>
    <x v="0"/>
    <x v="0"/>
    <x v="35"/>
    <x v="7"/>
    <x v="75"/>
    <n v="43"/>
    <n v="102"/>
    <x v="75"/>
  </r>
  <r>
    <x v="1"/>
    <x v="20"/>
    <x v="2"/>
    <x v="1"/>
    <x v="29"/>
    <x v="9"/>
    <x v="76"/>
    <n v="70"/>
    <n v="566"/>
    <x v="76"/>
  </r>
  <r>
    <x v="1"/>
    <x v="17"/>
    <x v="2"/>
    <x v="4"/>
    <x v="39"/>
    <x v="5"/>
    <x v="77"/>
    <n v="163"/>
    <n v="163"/>
    <x v="77"/>
  </r>
  <r>
    <x v="2"/>
    <x v="22"/>
    <x v="0"/>
    <x v="2"/>
    <x v="23"/>
    <x v="7"/>
    <x v="78"/>
    <n v="129"/>
    <n v="889"/>
    <x v="78"/>
  </r>
  <r>
    <x v="4"/>
    <x v="24"/>
    <x v="3"/>
    <x v="3"/>
    <x v="40"/>
    <x v="11"/>
    <x v="79"/>
    <n v="82"/>
    <n v="428"/>
    <x v="79"/>
  </r>
  <r>
    <x v="0"/>
    <x v="3"/>
    <x v="2"/>
    <x v="3"/>
    <x v="15"/>
    <x v="0"/>
    <x v="80"/>
    <n v="78"/>
    <n v="170"/>
    <x v="80"/>
  </r>
  <r>
    <x v="0"/>
    <x v="13"/>
    <x v="1"/>
    <x v="0"/>
    <x v="4"/>
    <x v="2"/>
    <x v="81"/>
    <n v="111"/>
    <n v="684"/>
    <x v="81"/>
  </r>
  <r>
    <x v="3"/>
    <x v="6"/>
    <x v="3"/>
    <x v="0"/>
    <x v="25"/>
    <x v="3"/>
    <x v="82"/>
    <n v="73"/>
    <n v="177"/>
    <x v="82"/>
  </r>
  <r>
    <x v="4"/>
    <x v="10"/>
    <x v="4"/>
    <x v="3"/>
    <x v="41"/>
    <x v="6"/>
    <x v="83"/>
    <n v="70"/>
    <n v="284"/>
    <x v="83"/>
  </r>
  <r>
    <x v="4"/>
    <x v="5"/>
    <x v="3"/>
    <x v="1"/>
    <x v="38"/>
    <x v="2"/>
    <x v="84"/>
    <n v="173"/>
    <n v="710"/>
    <x v="84"/>
  </r>
  <r>
    <x v="1"/>
    <x v="8"/>
    <x v="1"/>
    <x v="3"/>
    <x v="40"/>
    <x v="4"/>
    <x v="85"/>
    <n v="64"/>
    <n v="754"/>
    <x v="85"/>
  </r>
  <r>
    <x v="1"/>
    <x v="1"/>
    <x v="0"/>
    <x v="1"/>
    <x v="42"/>
    <x v="5"/>
    <x v="86"/>
    <n v="166"/>
    <n v="314"/>
    <x v="86"/>
  </r>
  <r>
    <x v="0"/>
    <x v="15"/>
    <x v="2"/>
    <x v="2"/>
    <x v="17"/>
    <x v="7"/>
    <x v="87"/>
    <n v="107"/>
    <n v="523"/>
    <x v="87"/>
  </r>
  <r>
    <x v="1"/>
    <x v="22"/>
    <x v="0"/>
    <x v="2"/>
    <x v="22"/>
    <x v="6"/>
    <x v="88"/>
    <n v="192"/>
    <n v="804"/>
    <x v="88"/>
  </r>
  <r>
    <x v="1"/>
    <x v="18"/>
    <x v="3"/>
    <x v="2"/>
    <x v="7"/>
    <x v="5"/>
    <x v="89"/>
    <n v="119"/>
    <n v="545"/>
    <x v="89"/>
  </r>
  <r>
    <x v="1"/>
    <x v="4"/>
    <x v="3"/>
    <x v="4"/>
    <x v="12"/>
    <x v="10"/>
    <x v="90"/>
    <n v="31"/>
    <n v="560"/>
    <x v="90"/>
  </r>
  <r>
    <x v="0"/>
    <x v="22"/>
    <x v="0"/>
    <x v="2"/>
    <x v="37"/>
    <x v="3"/>
    <x v="91"/>
    <n v="91"/>
    <n v="820"/>
    <x v="91"/>
  </r>
  <r>
    <x v="1"/>
    <x v="17"/>
    <x v="2"/>
    <x v="4"/>
    <x v="43"/>
    <x v="1"/>
    <x v="92"/>
    <n v="114"/>
    <n v="299"/>
    <x v="92"/>
  </r>
  <r>
    <x v="1"/>
    <x v="0"/>
    <x v="0"/>
    <x v="0"/>
    <x v="3"/>
    <x v="6"/>
    <x v="93"/>
    <n v="165"/>
    <n v="169"/>
    <x v="93"/>
  </r>
  <r>
    <x v="4"/>
    <x v="6"/>
    <x v="3"/>
    <x v="0"/>
    <x v="9"/>
    <x v="1"/>
    <x v="94"/>
    <n v="198"/>
    <n v="433"/>
    <x v="94"/>
  </r>
  <r>
    <x v="1"/>
    <x v="2"/>
    <x v="1"/>
    <x v="2"/>
    <x v="4"/>
    <x v="4"/>
    <x v="95"/>
    <n v="85"/>
    <n v="453"/>
    <x v="95"/>
  </r>
  <r>
    <x v="1"/>
    <x v="6"/>
    <x v="3"/>
    <x v="0"/>
    <x v="24"/>
    <x v="8"/>
    <x v="96"/>
    <n v="76"/>
    <n v="27"/>
    <x v="96"/>
  </r>
  <r>
    <x v="1"/>
    <x v="7"/>
    <x v="1"/>
    <x v="4"/>
    <x v="33"/>
    <x v="0"/>
    <x v="97"/>
    <n v="44"/>
    <n v="596"/>
    <x v="97"/>
  </r>
  <r>
    <x v="0"/>
    <x v="11"/>
    <x v="4"/>
    <x v="0"/>
    <x v="34"/>
    <x v="5"/>
    <x v="98"/>
    <n v="35"/>
    <n v="702"/>
    <x v="98"/>
  </r>
  <r>
    <x v="3"/>
    <x v="14"/>
    <x v="1"/>
    <x v="1"/>
    <x v="40"/>
    <x v="6"/>
    <x v="99"/>
    <n v="42"/>
    <n v="634"/>
    <x v="99"/>
  </r>
  <r>
    <x v="1"/>
    <x v="23"/>
    <x v="0"/>
    <x v="3"/>
    <x v="41"/>
    <x v="4"/>
    <x v="100"/>
    <n v="165"/>
    <n v="564"/>
    <x v="100"/>
  </r>
  <r>
    <x v="3"/>
    <x v="20"/>
    <x v="2"/>
    <x v="1"/>
    <x v="40"/>
    <x v="2"/>
    <x v="101"/>
    <n v="78"/>
    <n v="666"/>
    <x v="101"/>
  </r>
  <r>
    <x v="1"/>
    <x v="8"/>
    <x v="1"/>
    <x v="3"/>
    <x v="9"/>
    <x v="0"/>
    <x v="102"/>
    <n v="69"/>
    <n v="723"/>
    <x v="102"/>
  </r>
  <r>
    <x v="0"/>
    <x v="24"/>
    <x v="3"/>
    <x v="3"/>
    <x v="44"/>
    <x v="10"/>
    <x v="103"/>
    <n v="76"/>
    <n v="142"/>
    <x v="103"/>
  </r>
  <r>
    <x v="4"/>
    <x v="9"/>
    <x v="0"/>
    <x v="4"/>
    <x v="17"/>
    <x v="11"/>
    <x v="104"/>
    <n v="98"/>
    <n v="23"/>
    <x v="104"/>
  </r>
  <r>
    <x v="2"/>
    <x v="4"/>
    <x v="3"/>
    <x v="4"/>
    <x v="10"/>
    <x v="3"/>
    <x v="105"/>
    <n v="99"/>
    <n v="86"/>
    <x v="105"/>
  </r>
  <r>
    <x v="0"/>
    <x v="16"/>
    <x v="2"/>
    <x v="0"/>
    <x v="43"/>
    <x v="6"/>
    <x v="106"/>
    <n v="54"/>
    <n v="840"/>
    <x v="106"/>
  </r>
  <r>
    <x v="4"/>
    <x v="22"/>
    <x v="0"/>
    <x v="2"/>
    <x v="35"/>
    <x v="3"/>
    <x v="107"/>
    <n v="123"/>
    <n v="791"/>
    <x v="107"/>
  </r>
  <r>
    <x v="2"/>
    <x v="3"/>
    <x v="2"/>
    <x v="3"/>
    <x v="16"/>
    <x v="6"/>
    <x v="108"/>
    <n v="110"/>
    <n v="442"/>
    <x v="108"/>
  </r>
  <r>
    <x v="3"/>
    <x v="6"/>
    <x v="3"/>
    <x v="0"/>
    <x v="16"/>
    <x v="6"/>
    <x v="109"/>
    <n v="194"/>
    <n v="176"/>
    <x v="109"/>
  </r>
  <r>
    <x v="3"/>
    <x v="8"/>
    <x v="1"/>
    <x v="3"/>
    <x v="32"/>
    <x v="11"/>
    <x v="110"/>
    <n v="120"/>
    <n v="12"/>
    <x v="110"/>
  </r>
  <r>
    <x v="0"/>
    <x v="21"/>
    <x v="4"/>
    <x v="1"/>
    <x v="35"/>
    <x v="5"/>
    <x v="111"/>
    <n v="86"/>
    <n v="717"/>
    <x v="111"/>
  </r>
  <r>
    <x v="1"/>
    <x v="6"/>
    <x v="3"/>
    <x v="0"/>
    <x v="42"/>
    <x v="4"/>
    <x v="112"/>
    <n v="198"/>
    <n v="304"/>
    <x v="112"/>
  </r>
  <r>
    <x v="1"/>
    <x v="5"/>
    <x v="3"/>
    <x v="1"/>
    <x v="17"/>
    <x v="6"/>
    <x v="113"/>
    <n v="50"/>
    <n v="560"/>
    <x v="113"/>
  </r>
  <r>
    <x v="0"/>
    <x v="6"/>
    <x v="3"/>
    <x v="0"/>
    <x v="19"/>
    <x v="5"/>
    <x v="114"/>
    <n v="196"/>
    <n v="714"/>
    <x v="114"/>
  </r>
  <r>
    <x v="1"/>
    <x v="4"/>
    <x v="3"/>
    <x v="4"/>
    <x v="45"/>
    <x v="4"/>
    <x v="115"/>
    <n v="81"/>
    <n v="680"/>
    <x v="115"/>
  </r>
  <r>
    <x v="0"/>
    <x v="1"/>
    <x v="0"/>
    <x v="1"/>
    <x v="4"/>
    <x v="8"/>
    <x v="116"/>
    <n v="94"/>
    <n v="248"/>
    <x v="116"/>
  </r>
  <r>
    <x v="2"/>
    <x v="24"/>
    <x v="3"/>
    <x v="3"/>
    <x v="12"/>
    <x v="2"/>
    <x v="117"/>
    <n v="113"/>
    <n v="90"/>
    <x v="117"/>
  </r>
  <r>
    <x v="3"/>
    <x v="23"/>
    <x v="0"/>
    <x v="3"/>
    <x v="22"/>
    <x v="1"/>
    <x v="118"/>
    <n v="90"/>
    <n v="22"/>
    <x v="118"/>
  </r>
  <r>
    <x v="2"/>
    <x v="2"/>
    <x v="1"/>
    <x v="2"/>
    <x v="1"/>
    <x v="4"/>
    <x v="119"/>
    <n v="130"/>
    <n v="325"/>
    <x v="119"/>
  </r>
  <r>
    <x v="4"/>
    <x v="9"/>
    <x v="0"/>
    <x v="4"/>
    <x v="12"/>
    <x v="5"/>
    <x v="120"/>
    <n v="116"/>
    <n v="735"/>
    <x v="120"/>
  </r>
  <r>
    <x v="3"/>
    <x v="4"/>
    <x v="3"/>
    <x v="4"/>
    <x v="45"/>
    <x v="5"/>
    <x v="121"/>
    <n v="76"/>
    <n v="398"/>
    <x v="121"/>
  </r>
  <r>
    <x v="1"/>
    <x v="18"/>
    <x v="3"/>
    <x v="2"/>
    <x v="1"/>
    <x v="4"/>
    <x v="122"/>
    <n v="147"/>
    <n v="267"/>
    <x v="122"/>
  </r>
  <r>
    <x v="1"/>
    <x v="6"/>
    <x v="3"/>
    <x v="0"/>
    <x v="11"/>
    <x v="4"/>
    <x v="123"/>
    <n v="138"/>
    <n v="212"/>
    <x v="123"/>
  </r>
  <r>
    <x v="0"/>
    <x v="15"/>
    <x v="2"/>
    <x v="2"/>
    <x v="46"/>
    <x v="11"/>
    <x v="124"/>
    <n v="104"/>
    <n v="184"/>
    <x v="124"/>
  </r>
  <r>
    <x v="0"/>
    <x v="23"/>
    <x v="0"/>
    <x v="3"/>
    <x v="14"/>
    <x v="3"/>
    <x v="125"/>
    <n v="32"/>
    <n v="852"/>
    <x v="125"/>
  </r>
  <r>
    <x v="1"/>
    <x v="23"/>
    <x v="0"/>
    <x v="3"/>
    <x v="47"/>
    <x v="0"/>
    <x v="126"/>
    <n v="182"/>
    <n v="54"/>
    <x v="126"/>
  </r>
  <r>
    <x v="3"/>
    <x v="5"/>
    <x v="3"/>
    <x v="1"/>
    <x v="47"/>
    <x v="8"/>
    <x v="127"/>
    <n v="58"/>
    <n v="709"/>
    <x v="127"/>
  </r>
  <r>
    <x v="3"/>
    <x v="19"/>
    <x v="4"/>
    <x v="2"/>
    <x v="9"/>
    <x v="2"/>
    <x v="128"/>
    <n v="153"/>
    <n v="346"/>
    <x v="128"/>
  </r>
  <r>
    <x v="0"/>
    <x v="23"/>
    <x v="0"/>
    <x v="3"/>
    <x v="26"/>
    <x v="8"/>
    <x v="129"/>
    <n v="40"/>
    <n v="872"/>
    <x v="129"/>
  </r>
  <r>
    <x v="4"/>
    <x v="1"/>
    <x v="0"/>
    <x v="1"/>
    <x v="25"/>
    <x v="4"/>
    <x v="130"/>
    <n v="55"/>
    <n v="206"/>
    <x v="130"/>
  </r>
  <r>
    <x v="4"/>
    <x v="5"/>
    <x v="3"/>
    <x v="1"/>
    <x v="26"/>
    <x v="9"/>
    <x v="131"/>
    <n v="59"/>
    <n v="306"/>
    <x v="131"/>
  </r>
  <r>
    <x v="0"/>
    <x v="5"/>
    <x v="3"/>
    <x v="1"/>
    <x v="24"/>
    <x v="0"/>
    <x v="132"/>
    <n v="117"/>
    <n v="16"/>
    <x v="132"/>
  </r>
  <r>
    <x v="4"/>
    <x v="17"/>
    <x v="2"/>
    <x v="4"/>
    <x v="4"/>
    <x v="6"/>
    <x v="133"/>
    <n v="158"/>
    <n v="51"/>
    <x v="133"/>
  </r>
  <r>
    <x v="1"/>
    <x v="8"/>
    <x v="1"/>
    <x v="3"/>
    <x v="42"/>
    <x v="4"/>
    <x v="134"/>
    <n v="67"/>
    <n v="888"/>
    <x v="134"/>
  </r>
  <r>
    <x v="3"/>
    <x v="0"/>
    <x v="0"/>
    <x v="0"/>
    <x v="3"/>
    <x v="11"/>
    <x v="135"/>
    <n v="188"/>
    <n v="210"/>
    <x v="135"/>
  </r>
  <r>
    <x v="1"/>
    <x v="13"/>
    <x v="1"/>
    <x v="0"/>
    <x v="7"/>
    <x v="10"/>
    <x v="136"/>
    <n v="183"/>
    <n v="449"/>
    <x v="136"/>
  </r>
  <r>
    <x v="2"/>
    <x v="11"/>
    <x v="4"/>
    <x v="0"/>
    <x v="48"/>
    <x v="1"/>
    <x v="137"/>
    <n v="162"/>
    <n v="720"/>
    <x v="137"/>
  </r>
  <r>
    <x v="3"/>
    <x v="12"/>
    <x v="4"/>
    <x v="4"/>
    <x v="23"/>
    <x v="6"/>
    <x v="138"/>
    <n v="52"/>
    <n v="399"/>
    <x v="138"/>
  </r>
  <r>
    <x v="4"/>
    <x v="12"/>
    <x v="4"/>
    <x v="4"/>
    <x v="42"/>
    <x v="0"/>
    <x v="139"/>
    <n v="67"/>
    <n v="747"/>
    <x v="139"/>
  </r>
  <r>
    <x v="2"/>
    <x v="10"/>
    <x v="4"/>
    <x v="3"/>
    <x v="10"/>
    <x v="1"/>
    <x v="140"/>
    <n v="184"/>
    <n v="473"/>
    <x v="140"/>
  </r>
  <r>
    <x v="4"/>
    <x v="14"/>
    <x v="1"/>
    <x v="1"/>
    <x v="38"/>
    <x v="10"/>
    <x v="141"/>
    <n v="138"/>
    <n v="476"/>
    <x v="141"/>
  </r>
  <r>
    <x v="2"/>
    <x v="5"/>
    <x v="3"/>
    <x v="1"/>
    <x v="6"/>
    <x v="5"/>
    <x v="142"/>
    <n v="167"/>
    <n v="445"/>
    <x v="142"/>
  </r>
  <r>
    <x v="3"/>
    <x v="21"/>
    <x v="4"/>
    <x v="1"/>
    <x v="40"/>
    <x v="4"/>
    <x v="143"/>
    <n v="80"/>
    <n v="75"/>
    <x v="143"/>
  </r>
  <r>
    <x v="3"/>
    <x v="21"/>
    <x v="4"/>
    <x v="1"/>
    <x v="36"/>
    <x v="8"/>
    <x v="144"/>
    <n v="167"/>
    <n v="565"/>
    <x v="144"/>
  </r>
  <r>
    <x v="2"/>
    <x v="17"/>
    <x v="2"/>
    <x v="4"/>
    <x v="1"/>
    <x v="7"/>
    <x v="145"/>
    <n v="113"/>
    <n v="665"/>
    <x v="145"/>
  </r>
  <r>
    <x v="3"/>
    <x v="9"/>
    <x v="0"/>
    <x v="4"/>
    <x v="34"/>
    <x v="10"/>
    <x v="146"/>
    <n v="159"/>
    <n v="141"/>
    <x v="146"/>
  </r>
  <r>
    <x v="4"/>
    <x v="21"/>
    <x v="4"/>
    <x v="1"/>
    <x v="17"/>
    <x v="10"/>
    <x v="147"/>
    <n v="32"/>
    <n v="505"/>
    <x v="147"/>
  </r>
  <r>
    <x v="0"/>
    <x v="22"/>
    <x v="0"/>
    <x v="2"/>
    <x v="7"/>
    <x v="3"/>
    <x v="148"/>
    <n v="54"/>
    <n v="56"/>
    <x v="148"/>
  </r>
  <r>
    <x v="1"/>
    <x v="18"/>
    <x v="3"/>
    <x v="2"/>
    <x v="29"/>
    <x v="4"/>
    <x v="149"/>
    <n v="139"/>
    <n v="546"/>
    <x v="149"/>
  </r>
  <r>
    <x v="3"/>
    <x v="0"/>
    <x v="0"/>
    <x v="0"/>
    <x v="23"/>
    <x v="1"/>
    <x v="150"/>
    <n v="198"/>
    <n v="391"/>
    <x v="150"/>
  </r>
  <r>
    <x v="0"/>
    <x v="6"/>
    <x v="3"/>
    <x v="0"/>
    <x v="45"/>
    <x v="1"/>
    <x v="151"/>
    <n v="85"/>
    <n v="618"/>
    <x v="151"/>
  </r>
  <r>
    <x v="1"/>
    <x v="5"/>
    <x v="3"/>
    <x v="1"/>
    <x v="1"/>
    <x v="5"/>
    <x v="152"/>
    <n v="107"/>
    <n v="222"/>
    <x v="152"/>
  </r>
  <r>
    <x v="2"/>
    <x v="22"/>
    <x v="0"/>
    <x v="2"/>
    <x v="25"/>
    <x v="8"/>
    <x v="153"/>
    <n v="94"/>
    <n v="641"/>
    <x v="153"/>
  </r>
  <r>
    <x v="4"/>
    <x v="17"/>
    <x v="2"/>
    <x v="4"/>
    <x v="20"/>
    <x v="9"/>
    <x v="154"/>
    <n v="142"/>
    <n v="381"/>
    <x v="154"/>
  </r>
  <r>
    <x v="1"/>
    <x v="4"/>
    <x v="3"/>
    <x v="4"/>
    <x v="49"/>
    <x v="2"/>
    <x v="155"/>
    <n v="86"/>
    <n v="352"/>
    <x v="155"/>
  </r>
  <r>
    <x v="2"/>
    <x v="17"/>
    <x v="2"/>
    <x v="4"/>
    <x v="20"/>
    <x v="3"/>
    <x v="156"/>
    <n v="188"/>
    <n v="508"/>
    <x v="156"/>
  </r>
  <r>
    <x v="1"/>
    <x v="15"/>
    <x v="2"/>
    <x v="2"/>
    <x v="14"/>
    <x v="3"/>
    <x v="157"/>
    <n v="115"/>
    <n v="444"/>
    <x v="157"/>
  </r>
  <r>
    <x v="0"/>
    <x v="24"/>
    <x v="3"/>
    <x v="3"/>
    <x v="28"/>
    <x v="4"/>
    <x v="158"/>
    <n v="55"/>
    <n v="172"/>
    <x v="158"/>
  </r>
  <r>
    <x v="4"/>
    <x v="14"/>
    <x v="1"/>
    <x v="1"/>
    <x v="5"/>
    <x v="3"/>
    <x v="159"/>
    <n v="42"/>
    <n v="194"/>
    <x v="159"/>
  </r>
  <r>
    <x v="2"/>
    <x v="14"/>
    <x v="1"/>
    <x v="1"/>
    <x v="0"/>
    <x v="3"/>
    <x v="160"/>
    <n v="120"/>
    <n v="879"/>
    <x v="160"/>
  </r>
  <r>
    <x v="0"/>
    <x v="13"/>
    <x v="1"/>
    <x v="0"/>
    <x v="12"/>
    <x v="7"/>
    <x v="161"/>
    <n v="106"/>
    <n v="702"/>
    <x v="161"/>
  </r>
  <r>
    <x v="4"/>
    <x v="6"/>
    <x v="3"/>
    <x v="0"/>
    <x v="47"/>
    <x v="6"/>
    <x v="162"/>
    <n v="196"/>
    <n v="879"/>
    <x v="162"/>
  </r>
  <r>
    <x v="2"/>
    <x v="12"/>
    <x v="4"/>
    <x v="4"/>
    <x v="33"/>
    <x v="7"/>
    <x v="163"/>
    <n v="145"/>
    <n v="879"/>
    <x v="163"/>
  </r>
  <r>
    <x v="2"/>
    <x v="0"/>
    <x v="0"/>
    <x v="0"/>
    <x v="11"/>
    <x v="2"/>
    <x v="164"/>
    <n v="133"/>
    <n v="181"/>
    <x v="164"/>
  </r>
  <r>
    <x v="1"/>
    <x v="3"/>
    <x v="2"/>
    <x v="3"/>
    <x v="11"/>
    <x v="3"/>
    <x v="165"/>
    <n v="110"/>
    <n v="735"/>
    <x v="165"/>
  </r>
  <r>
    <x v="2"/>
    <x v="24"/>
    <x v="3"/>
    <x v="3"/>
    <x v="12"/>
    <x v="9"/>
    <x v="166"/>
    <n v="36"/>
    <n v="155"/>
    <x v="166"/>
  </r>
  <r>
    <x v="0"/>
    <x v="5"/>
    <x v="3"/>
    <x v="1"/>
    <x v="6"/>
    <x v="2"/>
    <x v="167"/>
    <n v="199"/>
    <n v="33"/>
    <x v="167"/>
  </r>
  <r>
    <x v="1"/>
    <x v="6"/>
    <x v="3"/>
    <x v="0"/>
    <x v="7"/>
    <x v="1"/>
    <x v="168"/>
    <n v="34"/>
    <n v="738"/>
    <x v="168"/>
  </r>
  <r>
    <x v="4"/>
    <x v="11"/>
    <x v="4"/>
    <x v="0"/>
    <x v="50"/>
    <x v="5"/>
    <x v="169"/>
    <n v="155"/>
    <n v="498"/>
    <x v="169"/>
  </r>
  <r>
    <x v="3"/>
    <x v="3"/>
    <x v="2"/>
    <x v="3"/>
    <x v="40"/>
    <x v="8"/>
    <x v="170"/>
    <n v="127"/>
    <n v="708"/>
    <x v="170"/>
  </r>
  <r>
    <x v="3"/>
    <x v="1"/>
    <x v="0"/>
    <x v="1"/>
    <x v="38"/>
    <x v="2"/>
    <x v="171"/>
    <n v="119"/>
    <n v="34"/>
    <x v="171"/>
  </r>
  <r>
    <x v="1"/>
    <x v="12"/>
    <x v="4"/>
    <x v="4"/>
    <x v="30"/>
    <x v="6"/>
    <x v="172"/>
    <n v="147"/>
    <n v="766"/>
    <x v="172"/>
  </r>
  <r>
    <x v="1"/>
    <x v="15"/>
    <x v="2"/>
    <x v="2"/>
    <x v="46"/>
    <x v="0"/>
    <x v="173"/>
    <n v="106"/>
    <n v="609"/>
    <x v="173"/>
  </r>
  <r>
    <x v="0"/>
    <x v="15"/>
    <x v="2"/>
    <x v="2"/>
    <x v="35"/>
    <x v="10"/>
    <x v="174"/>
    <n v="181"/>
    <n v="485"/>
    <x v="174"/>
  </r>
  <r>
    <x v="1"/>
    <x v="4"/>
    <x v="3"/>
    <x v="4"/>
    <x v="2"/>
    <x v="10"/>
    <x v="175"/>
    <n v="153"/>
    <n v="869"/>
    <x v="175"/>
  </r>
  <r>
    <x v="4"/>
    <x v="16"/>
    <x v="2"/>
    <x v="0"/>
    <x v="23"/>
    <x v="1"/>
    <x v="176"/>
    <n v="100"/>
    <n v="599"/>
    <x v="176"/>
  </r>
  <r>
    <x v="0"/>
    <x v="5"/>
    <x v="3"/>
    <x v="1"/>
    <x v="35"/>
    <x v="6"/>
    <x v="177"/>
    <n v="114"/>
    <n v="79"/>
    <x v="177"/>
  </r>
  <r>
    <x v="1"/>
    <x v="10"/>
    <x v="4"/>
    <x v="3"/>
    <x v="25"/>
    <x v="1"/>
    <x v="178"/>
    <n v="188"/>
    <n v="676"/>
    <x v="178"/>
  </r>
  <r>
    <x v="3"/>
    <x v="21"/>
    <x v="4"/>
    <x v="1"/>
    <x v="16"/>
    <x v="8"/>
    <x v="179"/>
    <n v="149"/>
    <n v="653"/>
    <x v="179"/>
  </r>
  <r>
    <x v="1"/>
    <x v="19"/>
    <x v="4"/>
    <x v="2"/>
    <x v="51"/>
    <x v="9"/>
    <x v="180"/>
    <n v="185"/>
    <n v="88"/>
    <x v="180"/>
  </r>
  <r>
    <x v="3"/>
    <x v="6"/>
    <x v="3"/>
    <x v="0"/>
    <x v="4"/>
    <x v="11"/>
    <x v="181"/>
    <n v="43"/>
    <n v="112"/>
    <x v="181"/>
  </r>
  <r>
    <x v="2"/>
    <x v="23"/>
    <x v="0"/>
    <x v="3"/>
    <x v="23"/>
    <x v="0"/>
    <x v="182"/>
    <n v="144"/>
    <n v="546"/>
    <x v="182"/>
  </r>
  <r>
    <x v="1"/>
    <x v="0"/>
    <x v="0"/>
    <x v="0"/>
    <x v="31"/>
    <x v="8"/>
    <x v="183"/>
    <n v="58"/>
    <n v="705"/>
    <x v="183"/>
  </r>
  <r>
    <x v="2"/>
    <x v="4"/>
    <x v="3"/>
    <x v="4"/>
    <x v="37"/>
    <x v="8"/>
    <x v="184"/>
    <n v="49"/>
    <n v="220"/>
    <x v="184"/>
  </r>
  <r>
    <x v="1"/>
    <x v="5"/>
    <x v="3"/>
    <x v="1"/>
    <x v="3"/>
    <x v="6"/>
    <x v="185"/>
    <n v="108"/>
    <n v="535"/>
    <x v="185"/>
  </r>
  <r>
    <x v="2"/>
    <x v="20"/>
    <x v="2"/>
    <x v="1"/>
    <x v="35"/>
    <x v="5"/>
    <x v="186"/>
    <n v="73"/>
    <n v="784"/>
    <x v="186"/>
  </r>
  <r>
    <x v="3"/>
    <x v="6"/>
    <x v="3"/>
    <x v="0"/>
    <x v="27"/>
    <x v="10"/>
    <x v="187"/>
    <n v="34"/>
    <n v="686"/>
    <x v="187"/>
  </r>
  <r>
    <x v="2"/>
    <x v="0"/>
    <x v="0"/>
    <x v="0"/>
    <x v="24"/>
    <x v="5"/>
    <x v="188"/>
    <n v="84"/>
    <n v="606"/>
    <x v="188"/>
  </r>
  <r>
    <x v="1"/>
    <x v="8"/>
    <x v="1"/>
    <x v="3"/>
    <x v="16"/>
    <x v="11"/>
    <x v="189"/>
    <n v="122"/>
    <n v="731"/>
    <x v="189"/>
  </r>
  <r>
    <x v="0"/>
    <x v="9"/>
    <x v="0"/>
    <x v="4"/>
    <x v="34"/>
    <x v="1"/>
    <x v="190"/>
    <n v="65"/>
    <n v="170"/>
    <x v="190"/>
  </r>
  <r>
    <x v="2"/>
    <x v="18"/>
    <x v="3"/>
    <x v="2"/>
    <x v="12"/>
    <x v="0"/>
    <x v="191"/>
    <n v="103"/>
    <n v="33"/>
    <x v="191"/>
  </r>
  <r>
    <x v="3"/>
    <x v="13"/>
    <x v="1"/>
    <x v="0"/>
    <x v="44"/>
    <x v="9"/>
    <x v="192"/>
    <n v="100"/>
    <n v="821"/>
    <x v="192"/>
  </r>
  <r>
    <x v="3"/>
    <x v="12"/>
    <x v="4"/>
    <x v="4"/>
    <x v="40"/>
    <x v="6"/>
    <x v="193"/>
    <n v="179"/>
    <n v="17"/>
    <x v="193"/>
  </r>
  <r>
    <x v="3"/>
    <x v="8"/>
    <x v="1"/>
    <x v="3"/>
    <x v="45"/>
    <x v="0"/>
    <x v="194"/>
    <n v="116"/>
    <n v="63"/>
    <x v="194"/>
  </r>
  <r>
    <x v="2"/>
    <x v="7"/>
    <x v="1"/>
    <x v="4"/>
    <x v="44"/>
    <x v="10"/>
    <x v="195"/>
    <n v="89"/>
    <n v="44"/>
    <x v="195"/>
  </r>
  <r>
    <x v="3"/>
    <x v="15"/>
    <x v="2"/>
    <x v="2"/>
    <x v="26"/>
    <x v="6"/>
    <x v="196"/>
    <n v="66"/>
    <n v="133"/>
    <x v="196"/>
  </r>
  <r>
    <x v="0"/>
    <x v="2"/>
    <x v="1"/>
    <x v="2"/>
    <x v="22"/>
    <x v="0"/>
    <x v="197"/>
    <n v="53"/>
    <n v="223"/>
    <x v="197"/>
  </r>
  <r>
    <x v="2"/>
    <x v="13"/>
    <x v="1"/>
    <x v="0"/>
    <x v="13"/>
    <x v="11"/>
    <x v="198"/>
    <n v="108"/>
    <n v="535"/>
    <x v="198"/>
  </r>
  <r>
    <x v="0"/>
    <x v="19"/>
    <x v="4"/>
    <x v="2"/>
    <x v="13"/>
    <x v="4"/>
    <x v="199"/>
    <n v="43"/>
    <n v="497"/>
    <x v="199"/>
  </r>
  <r>
    <x v="2"/>
    <x v="16"/>
    <x v="2"/>
    <x v="0"/>
    <x v="25"/>
    <x v="4"/>
    <x v="200"/>
    <n v="55"/>
    <n v="166"/>
    <x v="200"/>
  </r>
  <r>
    <x v="4"/>
    <x v="1"/>
    <x v="0"/>
    <x v="1"/>
    <x v="1"/>
    <x v="8"/>
    <x v="201"/>
    <n v="146"/>
    <n v="550"/>
    <x v="201"/>
  </r>
  <r>
    <x v="4"/>
    <x v="6"/>
    <x v="3"/>
    <x v="0"/>
    <x v="5"/>
    <x v="9"/>
    <x v="202"/>
    <n v="76"/>
    <n v="47"/>
    <x v="202"/>
  </r>
  <r>
    <x v="3"/>
    <x v="19"/>
    <x v="4"/>
    <x v="2"/>
    <x v="22"/>
    <x v="3"/>
    <x v="203"/>
    <n v="172"/>
    <n v="293"/>
    <x v="203"/>
  </r>
  <r>
    <x v="4"/>
    <x v="23"/>
    <x v="0"/>
    <x v="3"/>
    <x v="2"/>
    <x v="6"/>
    <x v="204"/>
    <n v="59"/>
    <n v="721"/>
    <x v="204"/>
  </r>
  <r>
    <x v="1"/>
    <x v="8"/>
    <x v="1"/>
    <x v="3"/>
    <x v="44"/>
    <x v="10"/>
    <x v="205"/>
    <n v="61"/>
    <n v="724"/>
    <x v="205"/>
  </r>
  <r>
    <x v="4"/>
    <x v="4"/>
    <x v="3"/>
    <x v="4"/>
    <x v="17"/>
    <x v="7"/>
    <x v="206"/>
    <n v="185"/>
    <n v="369"/>
    <x v="206"/>
  </r>
  <r>
    <x v="2"/>
    <x v="11"/>
    <x v="4"/>
    <x v="0"/>
    <x v="15"/>
    <x v="1"/>
    <x v="207"/>
    <n v="166"/>
    <n v="177"/>
    <x v="207"/>
  </r>
  <r>
    <x v="0"/>
    <x v="4"/>
    <x v="3"/>
    <x v="4"/>
    <x v="10"/>
    <x v="3"/>
    <x v="208"/>
    <n v="139"/>
    <n v="542"/>
    <x v="208"/>
  </r>
  <r>
    <x v="0"/>
    <x v="10"/>
    <x v="4"/>
    <x v="3"/>
    <x v="19"/>
    <x v="3"/>
    <x v="209"/>
    <n v="31"/>
    <n v="611"/>
    <x v="209"/>
  </r>
  <r>
    <x v="2"/>
    <x v="8"/>
    <x v="1"/>
    <x v="3"/>
    <x v="7"/>
    <x v="7"/>
    <x v="210"/>
    <n v="197"/>
    <n v="610"/>
    <x v="210"/>
  </r>
  <r>
    <x v="0"/>
    <x v="20"/>
    <x v="2"/>
    <x v="1"/>
    <x v="10"/>
    <x v="6"/>
    <x v="211"/>
    <n v="33"/>
    <n v="179"/>
    <x v="211"/>
  </r>
  <r>
    <x v="3"/>
    <x v="24"/>
    <x v="3"/>
    <x v="3"/>
    <x v="23"/>
    <x v="5"/>
    <x v="212"/>
    <n v="133"/>
    <n v="768"/>
    <x v="212"/>
  </r>
  <r>
    <x v="2"/>
    <x v="4"/>
    <x v="3"/>
    <x v="4"/>
    <x v="17"/>
    <x v="8"/>
    <x v="213"/>
    <n v="75"/>
    <n v="200"/>
    <x v="213"/>
  </r>
  <r>
    <x v="1"/>
    <x v="24"/>
    <x v="3"/>
    <x v="3"/>
    <x v="47"/>
    <x v="7"/>
    <x v="214"/>
    <n v="113"/>
    <n v="14"/>
    <x v="214"/>
  </r>
  <r>
    <x v="3"/>
    <x v="19"/>
    <x v="4"/>
    <x v="2"/>
    <x v="48"/>
    <x v="11"/>
    <x v="215"/>
    <n v="39"/>
    <n v="299"/>
    <x v="215"/>
  </r>
  <r>
    <x v="1"/>
    <x v="1"/>
    <x v="0"/>
    <x v="1"/>
    <x v="11"/>
    <x v="7"/>
    <x v="216"/>
    <n v="101"/>
    <n v="862"/>
    <x v="216"/>
  </r>
  <r>
    <x v="2"/>
    <x v="11"/>
    <x v="4"/>
    <x v="0"/>
    <x v="45"/>
    <x v="2"/>
    <x v="217"/>
    <n v="188"/>
    <n v="638"/>
    <x v="217"/>
  </r>
  <r>
    <x v="4"/>
    <x v="24"/>
    <x v="3"/>
    <x v="3"/>
    <x v="32"/>
    <x v="11"/>
    <x v="218"/>
    <n v="109"/>
    <n v="512"/>
    <x v="218"/>
  </r>
  <r>
    <x v="2"/>
    <x v="17"/>
    <x v="2"/>
    <x v="4"/>
    <x v="32"/>
    <x v="4"/>
    <x v="219"/>
    <n v="49"/>
    <n v="682"/>
    <x v="219"/>
  </r>
  <r>
    <x v="0"/>
    <x v="6"/>
    <x v="3"/>
    <x v="0"/>
    <x v="46"/>
    <x v="6"/>
    <x v="220"/>
    <n v="117"/>
    <n v="133"/>
    <x v="220"/>
  </r>
  <r>
    <x v="1"/>
    <x v="0"/>
    <x v="0"/>
    <x v="0"/>
    <x v="27"/>
    <x v="7"/>
    <x v="221"/>
    <n v="195"/>
    <n v="346"/>
    <x v="221"/>
  </r>
  <r>
    <x v="3"/>
    <x v="18"/>
    <x v="3"/>
    <x v="2"/>
    <x v="39"/>
    <x v="0"/>
    <x v="222"/>
    <n v="60"/>
    <n v="161"/>
    <x v="222"/>
  </r>
  <r>
    <x v="3"/>
    <x v="21"/>
    <x v="4"/>
    <x v="1"/>
    <x v="31"/>
    <x v="2"/>
    <x v="223"/>
    <n v="110"/>
    <n v="401"/>
    <x v="223"/>
  </r>
  <r>
    <x v="4"/>
    <x v="8"/>
    <x v="1"/>
    <x v="3"/>
    <x v="41"/>
    <x v="10"/>
    <x v="224"/>
    <n v="82"/>
    <n v="642"/>
    <x v="224"/>
  </r>
  <r>
    <x v="0"/>
    <x v="9"/>
    <x v="0"/>
    <x v="4"/>
    <x v="20"/>
    <x v="9"/>
    <x v="225"/>
    <n v="121"/>
    <n v="570"/>
    <x v="225"/>
  </r>
  <r>
    <x v="4"/>
    <x v="12"/>
    <x v="4"/>
    <x v="4"/>
    <x v="2"/>
    <x v="2"/>
    <x v="226"/>
    <n v="100"/>
    <n v="553"/>
    <x v="226"/>
  </r>
  <r>
    <x v="2"/>
    <x v="7"/>
    <x v="1"/>
    <x v="4"/>
    <x v="4"/>
    <x v="0"/>
    <x v="227"/>
    <n v="71"/>
    <n v="200"/>
    <x v="227"/>
  </r>
  <r>
    <x v="1"/>
    <x v="19"/>
    <x v="4"/>
    <x v="2"/>
    <x v="37"/>
    <x v="11"/>
    <x v="228"/>
    <n v="182"/>
    <n v="410"/>
    <x v="228"/>
  </r>
  <r>
    <x v="1"/>
    <x v="14"/>
    <x v="1"/>
    <x v="1"/>
    <x v="2"/>
    <x v="4"/>
    <x v="229"/>
    <n v="173"/>
    <n v="26"/>
    <x v="229"/>
  </r>
  <r>
    <x v="4"/>
    <x v="13"/>
    <x v="1"/>
    <x v="0"/>
    <x v="8"/>
    <x v="3"/>
    <x v="230"/>
    <n v="200"/>
    <n v="594"/>
    <x v="230"/>
  </r>
  <r>
    <x v="0"/>
    <x v="19"/>
    <x v="4"/>
    <x v="2"/>
    <x v="49"/>
    <x v="9"/>
    <x v="231"/>
    <n v="195"/>
    <n v="437"/>
    <x v="231"/>
  </r>
  <r>
    <x v="4"/>
    <x v="7"/>
    <x v="1"/>
    <x v="4"/>
    <x v="45"/>
    <x v="10"/>
    <x v="232"/>
    <n v="179"/>
    <n v="293"/>
    <x v="232"/>
  </r>
  <r>
    <x v="3"/>
    <x v="8"/>
    <x v="1"/>
    <x v="3"/>
    <x v="29"/>
    <x v="8"/>
    <x v="233"/>
    <n v="195"/>
    <n v="825"/>
    <x v="233"/>
  </r>
  <r>
    <x v="0"/>
    <x v="4"/>
    <x v="3"/>
    <x v="4"/>
    <x v="36"/>
    <x v="11"/>
    <x v="234"/>
    <n v="181"/>
    <n v="623"/>
    <x v="234"/>
  </r>
  <r>
    <x v="0"/>
    <x v="5"/>
    <x v="3"/>
    <x v="1"/>
    <x v="39"/>
    <x v="3"/>
    <x v="235"/>
    <n v="138"/>
    <n v="621"/>
    <x v="235"/>
  </r>
  <r>
    <x v="1"/>
    <x v="0"/>
    <x v="0"/>
    <x v="0"/>
    <x v="37"/>
    <x v="3"/>
    <x v="236"/>
    <n v="32"/>
    <n v="451"/>
    <x v="236"/>
  </r>
  <r>
    <x v="1"/>
    <x v="9"/>
    <x v="0"/>
    <x v="4"/>
    <x v="33"/>
    <x v="1"/>
    <x v="237"/>
    <n v="78"/>
    <n v="209"/>
    <x v="237"/>
  </r>
  <r>
    <x v="2"/>
    <x v="7"/>
    <x v="1"/>
    <x v="4"/>
    <x v="15"/>
    <x v="11"/>
    <x v="238"/>
    <n v="158"/>
    <n v="545"/>
    <x v="238"/>
  </r>
  <r>
    <x v="4"/>
    <x v="8"/>
    <x v="1"/>
    <x v="3"/>
    <x v="45"/>
    <x v="2"/>
    <x v="239"/>
    <n v="200"/>
    <n v="821"/>
    <x v="239"/>
  </r>
  <r>
    <x v="1"/>
    <x v="7"/>
    <x v="1"/>
    <x v="4"/>
    <x v="27"/>
    <x v="2"/>
    <x v="240"/>
    <n v="194"/>
    <n v="498"/>
    <x v="240"/>
  </r>
  <r>
    <x v="4"/>
    <x v="14"/>
    <x v="1"/>
    <x v="1"/>
    <x v="15"/>
    <x v="11"/>
    <x v="241"/>
    <n v="41"/>
    <n v="27"/>
    <x v="241"/>
  </r>
  <r>
    <x v="4"/>
    <x v="12"/>
    <x v="4"/>
    <x v="4"/>
    <x v="23"/>
    <x v="9"/>
    <x v="242"/>
    <n v="160"/>
    <n v="795"/>
    <x v="242"/>
  </r>
  <r>
    <x v="2"/>
    <x v="18"/>
    <x v="3"/>
    <x v="2"/>
    <x v="41"/>
    <x v="9"/>
    <x v="243"/>
    <n v="69"/>
    <n v="495"/>
    <x v="243"/>
  </r>
  <r>
    <x v="3"/>
    <x v="11"/>
    <x v="4"/>
    <x v="0"/>
    <x v="35"/>
    <x v="9"/>
    <x v="244"/>
    <n v="81"/>
    <n v="695"/>
    <x v="244"/>
  </r>
  <r>
    <x v="4"/>
    <x v="13"/>
    <x v="1"/>
    <x v="0"/>
    <x v="50"/>
    <x v="7"/>
    <x v="245"/>
    <n v="121"/>
    <n v="573"/>
    <x v="245"/>
  </r>
  <r>
    <x v="2"/>
    <x v="1"/>
    <x v="0"/>
    <x v="1"/>
    <x v="6"/>
    <x v="0"/>
    <x v="246"/>
    <n v="151"/>
    <n v="486"/>
    <x v="246"/>
  </r>
  <r>
    <x v="0"/>
    <x v="2"/>
    <x v="1"/>
    <x v="2"/>
    <x v="40"/>
    <x v="7"/>
    <x v="247"/>
    <n v="162"/>
    <n v="736"/>
    <x v="247"/>
  </r>
  <r>
    <x v="1"/>
    <x v="9"/>
    <x v="0"/>
    <x v="4"/>
    <x v="25"/>
    <x v="2"/>
    <x v="248"/>
    <n v="179"/>
    <n v="309"/>
    <x v="248"/>
  </r>
  <r>
    <x v="4"/>
    <x v="22"/>
    <x v="0"/>
    <x v="2"/>
    <x v="15"/>
    <x v="4"/>
    <x v="249"/>
    <n v="77"/>
    <n v="809"/>
    <x v="249"/>
  </r>
  <r>
    <x v="3"/>
    <x v="5"/>
    <x v="3"/>
    <x v="1"/>
    <x v="32"/>
    <x v="9"/>
    <x v="250"/>
    <n v="187"/>
    <n v="177"/>
    <x v="250"/>
  </r>
  <r>
    <x v="0"/>
    <x v="16"/>
    <x v="2"/>
    <x v="0"/>
    <x v="8"/>
    <x v="5"/>
    <x v="251"/>
    <n v="119"/>
    <n v="514"/>
    <x v="251"/>
  </r>
  <r>
    <x v="1"/>
    <x v="21"/>
    <x v="4"/>
    <x v="1"/>
    <x v="3"/>
    <x v="3"/>
    <x v="252"/>
    <n v="90"/>
    <n v="444"/>
    <x v="252"/>
  </r>
  <r>
    <x v="0"/>
    <x v="2"/>
    <x v="1"/>
    <x v="2"/>
    <x v="34"/>
    <x v="6"/>
    <x v="253"/>
    <n v="89"/>
    <n v="370"/>
    <x v="253"/>
  </r>
  <r>
    <x v="3"/>
    <x v="2"/>
    <x v="1"/>
    <x v="2"/>
    <x v="51"/>
    <x v="3"/>
    <x v="254"/>
    <n v="181"/>
    <n v="19"/>
    <x v="254"/>
  </r>
  <r>
    <x v="3"/>
    <x v="15"/>
    <x v="2"/>
    <x v="2"/>
    <x v="12"/>
    <x v="10"/>
    <x v="255"/>
    <n v="188"/>
    <n v="56"/>
    <x v="255"/>
  </r>
  <r>
    <x v="2"/>
    <x v="3"/>
    <x v="2"/>
    <x v="3"/>
    <x v="16"/>
    <x v="7"/>
    <x v="256"/>
    <n v="61"/>
    <n v="173"/>
    <x v="256"/>
  </r>
  <r>
    <x v="4"/>
    <x v="13"/>
    <x v="1"/>
    <x v="0"/>
    <x v="51"/>
    <x v="0"/>
    <x v="257"/>
    <n v="154"/>
    <n v="294"/>
    <x v="257"/>
  </r>
  <r>
    <x v="3"/>
    <x v="8"/>
    <x v="1"/>
    <x v="3"/>
    <x v="20"/>
    <x v="11"/>
    <x v="258"/>
    <n v="69"/>
    <n v="209"/>
    <x v="258"/>
  </r>
  <r>
    <x v="3"/>
    <x v="23"/>
    <x v="0"/>
    <x v="3"/>
    <x v="3"/>
    <x v="8"/>
    <x v="259"/>
    <n v="154"/>
    <n v="773"/>
    <x v="259"/>
  </r>
  <r>
    <x v="0"/>
    <x v="8"/>
    <x v="1"/>
    <x v="3"/>
    <x v="11"/>
    <x v="7"/>
    <x v="260"/>
    <n v="98"/>
    <n v="47"/>
    <x v="260"/>
  </r>
  <r>
    <x v="2"/>
    <x v="20"/>
    <x v="2"/>
    <x v="1"/>
    <x v="9"/>
    <x v="0"/>
    <x v="261"/>
    <n v="188"/>
    <n v="627"/>
    <x v="261"/>
  </r>
  <r>
    <x v="1"/>
    <x v="4"/>
    <x v="3"/>
    <x v="4"/>
    <x v="22"/>
    <x v="10"/>
    <x v="262"/>
    <n v="50"/>
    <n v="96"/>
    <x v="262"/>
  </r>
  <r>
    <x v="1"/>
    <x v="2"/>
    <x v="1"/>
    <x v="2"/>
    <x v="22"/>
    <x v="5"/>
    <x v="263"/>
    <n v="136"/>
    <n v="676"/>
    <x v="263"/>
  </r>
  <r>
    <x v="4"/>
    <x v="18"/>
    <x v="3"/>
    <x v="2"/>
    <x v="31"/>
    <x v="7"/>
    <x v="264"/>
    <n v="115"/>
    <n v="472"/>
    <x v="264"/>
  </r>
  <r>
    <x v="3"/>
    <x v="10"/>
    <x v="4"/>
    <x v="3"/>
    <x v="6"/>
    <x v="3"/>
    <x v="265"/>
    <n v="112"/>
    <n v="429"/>
    <x v="265"/>
  </r>
  <r>
    <x v="2"/>
    <x v="16"/>
    <x v="2"/>
    <x v="0"/>
    <x v="11"/>
    <x v="3"/>
    <x v="266"/>
    <n v="162"/>
    <n v="141"/>
    <x v="266"/>
  </r>
  <r>
    <x v="1"/>
    <x v="22"/>
    <x v="0"/>
    <x v="2"/>
    <x v="31"/>
    <x v="7"/>
    <x v="267"/>
    <n v="172"/>
    <n v="342"/>
    <x v="267"/>
  </r>
  <r>
    <x v="2"/>
    <x v="0"/>
    <x v="0"/>
    <x v="0"/>
    <x v="51"/>
    <x v="1"/>
    <x v="268"/>
    <n v="188"/>
    <n v="871"/>
    <x v="268"/>
  </r>
  <r>
    <x v="4"/>
    <x v="13"/>
    <x v="1"/>
    <x v="0"/>
    <x v="21"/>
    <x v="1"/>
    <x v="269"/>
    <n v="65"/>
    <n v="188"/>
    <x v="269"/>
  </r>
  <r>
    <x v="3"/>
    <x v="19"/>
    <x v="4"/>
    <x v="2"/>
    <x v="46"/>
    <x v="4"/>
    <x v="270"/>
    <n v="37"/>
    <n v="785"/>
    <x v="270"/>
  </r>
  <r>
    <x v="0"/>
    <x v="11"/>
    <x v="4"/>
    <x v="0"/>
    <x v="14"/>
    <x v="3"/>
    <x v="271"/>
    <n v="108"/>
    <n v="746"/>
    <x v="271"/>
  </r>
  <r>
    <x v="2"/>
    <x v="22"/>
    <x v="0"/>
    <x v="2"/>
    <x v="13"/>
    <x v="5"/>
    <x v="272"/>
    <n v="48"/>
    <n v="285"/>
    <x v="272"/>
  </r>
  <r>
    <x v="4"/>
    <x v="5"/>
    <x v="3"/>
    <x v="1"/>
    <x v="35"/>
    <x v="2"/>
    <x v="273"/>
    <n v="149"/>
    <n v="715"/>
    <x v="273"/>
  </r>
  <r>
    <x v="2"/>
    <x v="5"/>
    <x v="3"/>
    <x v="1"/>
    <x v="7"/>
    <x v="6"/>
    <x v="274"/>
    <n v="117"/>
    <n v="462"/>
    <x v="274"/>
  </r>
  <r>
    <x v="0"/>
    <x v="10"/>
    <x v="4"/>
    <x v="3"/>
    <x v="25"/>
    <x v="11"/>
    <x v="275"/>
    <n v="195"/>
    <n v="523"/>
    <x v="275"/>
  </r>
  <r>
    <x v="0"/>
    <x v="9"/>
    <x v="0"/>
    <x v="4"/>
    <x v="9"/>
    <x v="9"/>
    <x v="276"/>
    <n v="80"/>
    <n v="458"/>
    <x v="276"/>
  </r>
  <r>
    <x v="1"/>
    <x v="14"/>
    <x v="1"/>
    <x v="1"/>
    <x v="5"/>
    <x v="1"/>
    <x v="277"/>
    <n v="59"/>
    <n v="587"/>
    <x v="277"/>
  </r>
  <r>
    <x v="4"/>
    <x v="13"/>
    <x v="1"/>
    <x v="0"/>
    <x v="29"/>
    <x v="1"/>
    <x v="278"/>
    <n v="167"/>
    <n v="47"/>
    <x v="278"/>
  </r>
  <r>
    <x v="4"/>
    <x v="2"/>
    <x v="1"/>
    <x v="2"/>
    <x v="1"/>
    <x v="11"/>
    <x v="279"/>
    <n v="65"/>
    <n v="331"/>
    <x v="279"/>
  </r>
  <r>
    <x v="1"/>
    <x v="8"/>
    <x v="1"/>
    <x v="3"/>
    <x v="3"/>
    <x v="3"/>
    <x v="280"/>
    <n v="152"/>
    <n v="265"/>
    <x v="280"/>
  </r>
  <r>
    <x v="1"/>
    <x v="6"/>
    <x v="3"/>
    <x v="0"/>
    <x v="36"/>
    <x v="11"/>
    <x v="281"/>
    <n v="96"/>
    <n v="525"/>
    <x v="281"/>
  </r>
  <r>
    <x v="4"/>
    <x v="13"/>
    <x v="1"/>
    <x v="0"/>
    <x v="33"/>
    <x v="5"/>
    <x v="282"/>
    <n v="191"/>
    <n v="871"/>
    <x v="282"/>
  </r>
  <r>
    <x v="3"/>
    <x v="4"/>
    <x v="3"/>
    <x v="4"/>
    <x v="27"/>
    <x v="9"/>
    <x v="283"/>
    <n v="147"/>
    <n v="196"/>
    <x v="283"/>
  </r>
  <r>
    <x v="0"/>
    <x v="17"/>
    <x v="2"/>
    <x v="4"/>
    <x v="3"/>
    <x v="8"/>
    <x v="284"/>
    <n v="47"/>
    <n v="500"/>
    <x v="284"/>
  </r>
  <r>
    <x v="3"/>
    <x v="5"/>
    <x v="3"/>
    <x v="1"/>
    <x v="49"/>
    <x v="1"/>
    <x v="285"/>
    <n v="42"/>
    <n v="787"/>
    <x v="285"/>
  </r>
  <r>
    <x v="1"/>
    <x v="23"/>
    <x v="0"/>
    <x v="3"/>
    <x v="5"/>
    <x v="10"/>
    <x v="286"/>
    <n v="60"/>
    <n v="862"/>
    <x v="286"/>
  </r>
  <r>
    <x v="4"/>
    <x v="3"/>
    <x v="2"/>
    <x v="3"/>
    <x v="19"/>
    <x v="0"/>
    <x v="287"/>
    <n v="174"/>
    <n v="666"/>
    <x v="287"/>
  </r>
  <r>
    <x v="3"/>
    <x v="19"/>
    <x v="4"/>
    <x v="2"/>
    <x v="32"/>
    <x v="0"/>
    <x v="288"/>
    <n v="87"/>
    <n v="372"/>
    <x v="288"/>
  </r>
  <r>
    <x v="3"/>
    <x v="8"/>
    <x v="1"/>
    <x v="3"/>
    <x v="48"/>
    <x v="4"/>
    <x v="289"/>
    <n v="160"/>
    <n v="630"/>
    <x v="289"/>
  </r>
  <r>
    <x v="0"/>
    <x v="13"/>
    <x v="1"/>
    <x v="0"/>
    <x v="11"/>
    <x v="7"/>
    <x v="290"/>
    <n v="140"/>
    <n v="419"/>
    <x v="290"/>
  </r>
  <r>
    <x v="4"/>
    <x v="21"/>
    <x v="4"/>
    <x v="1"/>
    <x v="8"/>
    <x v="7"/>
    <x v="291"/>
    <n v="133"/>
    <n v="443"/>
    <x v="291"/>
  </r>
  <r>
    <x v="3"/>
    <x v="4"/>
    <x v="3"/>
    <x v="4"/>
    <x v="42"/>
    <x v="2"/>
    <x v="292"/>
    <n v="37"/>
    <n v="819"/>
    <x v="292"/>
  </r>
  <r>
    <x v="2"/>
    <x v="21"/>
    <x v="4"/>
    <x v="1"/>
    <x v="48"/>
    <x v="7"/>
    <x v="293"/>
    <n v="141"/>
    <n v="590"/>
    <x v="293"/>
  </r>
  <r>
    <x v="4"/>
    <x v="5"/>
    <x v="3"/>
    <x v="1"/>
    <x v="2"/>
    <x v="10"/>
    <x v="294"/>
    <n v="160"/>
    <n v="568"/>
    <x v="294"/>
  </r>
  <r>
    <x v="1"/>
    <x v="4"/>
    <x v="3"/>
    <x v="4"/>
    <x v="17"/>
    <x v="4"/>
    <x v="295"/>
    <n v="71"/>
    <n v="237"/>
    <x v="295"/>
  </r>
  <r>
    <x v="1"/>
    <x v="18"/>
    <x v="3"/>
    <x v="2"/>
    <x v="14"/>
    <x v="11"/>
    <x v="296"/>
    <n v="30"/>
    <n v="385"/>
    <x v="296"/>
  </r>
  <r>
    <x v="4"/>
    <x v="22"/>
    <x v="0"/>
    <x v="2"/>
    <x v="15"/>
    <x v="10"/>
    <x v="297"/>
    <n v="194"/>
    <n v="126"/>
    <x v="297"/>
  </r>
  <r>
    <x v="3"/>
    <x v="22"/>
    <x v="0"/>
    <x v="2"/>
    <x v="30"/>
    <x v="4"/>
    <x v="298"/>
    <n v="63"/>
    <n v="298"/>
    <x v="298"/>
  </r>
  <r>
    <x v="2"/>
    <x v="1"/>
    <x v="0"/>
    <x v="1"/>
    <x v="39"/>
    <x v="9"/>
    <x v="299"/>
    <n v="85"/>
    <n v="341"/>
    <x v="299"/>
  </r>
  <r>
    <x v="4"/>
    <x v="1"/>
    <x v="0"/>
    <x v="1"/>
    <x v="27"/>
    <x v="10"/>
    <x v="300"/>
    <n v="44"/>
    <n v="550"/>
    <x v="300"/>
  </r>
  <r>
    <x v="3"/>
    <x v="5"/>
    <x v="3"/>
    <x v="1"/>
    <x v="51"/>
    <x v="11"/>
    <x v="301"/>
    <n v="160"/>
    <n v="211"/>
    <x v="301"/>
  </r>
  <r>
    <x v="4"/>
    <x v="9"/>
    <x v="0"/>
    <x v="4"/>
    <x v="29"/>
    <x v="5"/>
    <x v="302"/>
    <n v="96"/>
    <n v="233"/>
    <x v="302"/>
  </r>
  <r>
    <x v="1"/>
    <x v="10"/>
    <x v="4"/>
    <x v="3"/>
    <x v="50"/>
    <x v="5"/>
    <x v="303"/>
    <n v="93"/>
    <n v="101"/>
    <x v="303"/>
  </r>
  <r>
    <x v="4"/>
    <x v="0"/>
    <x v="0"/>
    <x v="0"/>
    <x v="20"/>
    <x v="5"/>
    <x v="304"/>
    <n v="181"/>
    <n v="855"/>
    <x v="304"/>
  </r>
  <r>
    <x v="1"/>
    <x v="15"/>
    <x v="2"/>
    <x v="2"/>
    <x v="38"/>
    <x v="1"/>
    <x v="305"/>
    <n v="131"/>
    <n v="92"/>
    <x v="305"/>
  </r>
  <r>
    <x v="4"/>
    <x v="16"/>
    <x v="2"/>
    <x v="0"/>
    <x v="46"/>
    <x v="2"/>
    <x v="306"/>
    <n v="103"/>
    <n v="125"/>
    <x v="306"/>
  </r>
  <r>
    <x v="2"/>
    <x v="6"/>
    <x v="3"/>
    <x v="0"/>
    <x v="36"/>
    <x v="0"/>
    <x v="307"/>
    <n v="183"/>
    <n v="217"/>
    <x v="307"/>
  </r>
  <r>
    <x v="3"/>
    <x v="13"/>
    <x v="1"/>
    <x v="0"/>
    <x v="29"/>
    <x v="10"/>
    <x v="308"/>
    <n v="114"/>
    <n v="388"/>
    <x v="308"/>
  </r>
  <r>
    <x v="4"/>
    <x v="17"/>
    <x v="2"/>
    <x v="4"/>
    <x v="0"/>
    <x v="1"/>
    <x v="309"/>
    <n v="136"/>
    <n v="34"/>
    <x v="309"/>
  </r>
  <r>
    <x v="1"/>
    <x v="10"/>
    <x v="4"/>
    <x v="3"/>
    <x v="42"/>
    <x v="11"/>
    <x v="310"/>
    <n v="135"/>
    <n v="53"/>
    <x v="310"/>
  </r>
  <r>
    <x v="2"/>
    <x v="17"/>
    <x v="2"/>
    <x v="4"/>
    <x v="4"/>
    <x v="6"/>
    <x v="311"/>
    <n v="53"/>
    <n v="385"/>
    <x v="311"/>
  </r>
  <r>
    <x v="4"/>
    <x v="1"/>
    <x v="0"/>
    <x v="1"/>
    <x v="43"/>
    <x v="11"/>
    <x v="312"/>
    <n v="172"/>
    <n v="634"/>
    <x v="312"/>
  </r>
  <r>
    <x v="2"/>
    <x v="12"/>
    <x v="4"/>
    <x v="4"/>
    <x v="8"/>
    <x v="10"/>
    <x v="313"/>
    <n v="164"/>
    <n v="460"/>
    <x v="313"/>
  </r>
  <r>
    <x v="4"/>
    <x v="5"/>
    <x v="3"/>
    <x v="1"/>
    <x v="43"/>
    <x v="8"/>
    <x v="314"/>
    <n v="190"/>
    <n v="293"/>
    <x v="314"/>
  </r>
  <r>
    <x v="4"/>
    <x v="5"/>
    <x v="3"/>
    <x v="1"/>
    <x v="25"/>
    <x v="2"/>
    <x v="315"/>
    <n v="49"/>
    <n v="81"/>
    <x v="315"/>
  </r>
  <r>
    <x v="0"/>
    <x v="17"/>
    <x v="2"/>
    <x v="4"/>
    <x v="17"/>
    <x v="4"/>
    <x v="316"/>
    <n v="177"/>
    <n v="699"/>
    <x v="316"/>
  </r>
  <r>
    <x v="0"/>
    <x v="9"/>
    <x v="0"/>
    <x v="4"/>
    <x v="35"/>
    <x v="11"/>
    <x v="317"/>
    <n v="156"/>
    <n v="354"/>
    <x v="317"/>
  </r>
  <r>
    <x v="4"/>
    <x v="16"/>
    <x v="2"/>
    <x v="0"/>
    <x v="34"/>
    <x v="9"/>
    <x v="318"/>
    <n v="159"/>
    <n v="17"/>
    <x v="318"/>
  </r>
  <r>
    <x v="0"/>
    <x v="13"/>
    <x v="1"/>
    <x v="0"/>
    <x v="5"/>
    <x v="5"/>
    <x v="319"/>
    <n v="37"/>
    <n v="841"/>
    <x v="319"/>
  </r>
  <r>
    <x v="3"/>
    <x v="20"/>
    <x v="2"/>
    <x v="1"/>
    <x v="43"/>
    <x v="7"/>
    <x v="320"/>
    <n v="182"/>
    <n v="883"/>
    <x v="320"/>
  </r>
  <r>
    <x v="1"/>
    <x v="24"/>
    <x v="3"/>
    <x v="3"/>
    <x v="9"/>
    <x v="1"/>
    <x v="321"/>
    <n v="75"/>
    <n v="94"/>
    <x v="321"/>
  </r>
  <r>
    <x v="0"/>
    <x v="7"/>
    <x v="1"/>
    <x v="4"/>
    <x v="47"/>
    <x v="6"/>
    <x v="322"/>
    <n v="30"/>
    <n v="512"/>
    <x v="322"/>
  </r>
  <r>
    <x v="0"/>
    <x v="12"/>
    <x v="4"/>
    <x v="4"/>
    <x v="42"/>
    <x v="9"/>
    <x v="323"/>
    <n v="116"/>
    <n v="51"/>
    <x v="323"/>
  </r>
  <r>
    <x v="1"/>
    <x v="24"/>
    <x v="3"/>
    <x v="3"/>
    <x v="50"/>
    <x v="10"/>
    <x v="324"/>
    <n v="82"/>
    <n v="274"/>
    <x v="324"/>
  </r>
  <r>
    <x v="1"/>
    <x v="23"/>
    <x v="0"/>
    <x v="3"/>
    <x v="24"/>
    <x v="9"/>
    <x v="325"/>
    <n v="160"/>
    <n v="412"/>
    <x v="325"/>
  </r>
  <r>
    <x v="0"/>
    <x v="14"/>
    <x v="1"/>
    <x v="1"/>
    <x v="3"/>
    <x v="8"/>
    <x v="326"/>
    <n v="40"/>
    <n v="480"/>
    <x v="326"/>
  </r>
  <r>
    <x v="4"/>
    <x v="11"/>
    <x v="4"/>
    <x v="0"/>
    <x v="12"/>
    <x v="11"/>
    <x v="327"/>
    <n v="71"/>
    <n v="186"/>
    <x v="327"/>
  </r>
  <r>
    <x v="4"/>
    <x v="17"/>
    <x v="2"/>
    <x v="4"/>
    <x v="18"/>
    <x v="6"/>
    <x v="328"/>
    <n v="111"/>
    <n v="314"/>
    <x v="328"/>
  </r>
  <r>
    <x v="3"/>
    <x v="23"/>
    <x v="0"/>
    <x v="3"/>
    <x v="27"/>
    <x v="11"/>
    <x v="329"/>
    <n v="99"/>
    <n v="580"/>
    <x v="329"/>
  </r>
  <r>
    <x v="2"/>
    <x v="4"/>
    <x v="3"/>
    <x v="4"/>
    <x v="16"/>
    <x v="10"/>
    <x v="330"/>
    <n v="68"/>
    <n v="141"/>
    <x v="330"/>
  </r>
  <r>
    <x v="4"/>
    <x v="19"/>
    <x v="4"/>
    <x v="2"/>
    <x v="31"/>
    <x v="10"/>
    <x v="331"/>
    <n v="89"/>
    <n v="594"/>
    <x v="331"/>
  </r>
  <r>
    <x v="3"/>
    <x v="17"/>
    <x v="2"/>
    <x v="4"/>
    <x v="28"/>
    <x v="9"/>
    <x v="332"/>
    <n v="94"/>
    <n v="876"/>
    <x v="332"/>
  </r>
  <r>
    <x v="2"/>
    <x v="3"/>
    <x v="2"/>
    <x v="3"/>
    <x v="23"/>
    <x v="4"/>
    <x v="333"/>
    <n v="55"/>
    <n v="44"/>
    <x v="333"/>
  </r>
  <r>
    <x v="4"/>
    <x v="24"/>
    <x v="3"/>
    <x v="3"/>
    <x v="13"/>
    <x v="9"/>
    <x v="334"/>
    <n v="68"/>
    <n v="883"/>
    <x v="334"/>
  </r>
  <r>
    <x v="2"/>
    <x v="9"/>
    <x v="0"/>
    <x v="4"/>
    <x v="13"/>
    <x v="7"/>
    <x v="335"/>
    <n v="132"/>
    <n v="562"/>
    <x v="335"/>
  </r>
  <r>
    <x v="0"/>
    <x v="20"/>
    <x v="2"/>
    <x v="1"/>
    <x v="8"/>
    <x v="11"/>
    <x v="336"/>
    <n v="87"/>
    <n v="312"/>
    <x v="336"/>
  </r>
  <r>
    <x v="1"/>
    <x v="16"/>
    <x v="2"/>
    <x v="0"/>
    <x v="10"/>
    <x v="9"/>
    <x v="337"/>
    <n v="66"/>
    <n v="30"/>
    <x v="337"/>
  </r>
  <r>
    <x v="0"/>
    <x v="9"/>
    <x v="0"/>
    <x v="4"/>
    <x v="31"/>
    <x v="9"/>
    <x v="338"/>
    <n v="71"/>
    <n v="102"/>
    <x v="338"/>
  </r>
  <r>
    <x v="2"/>
    <x v="10"/>
    <x v="4"/>
    <x v="3"/>
    <x v="44"/>
    <x v="2"/>
    <x v="339"/>
    <n v="172"/>
    <n v="544"/>
    <x v="339"/>
  </r>
  <r>
    <x v="2"/>
    <x v="5"/>
    <x v="3"/>
    <x v="1"/>
    <x v="14"/>
    <x v="4"/>
    <x v="340"/>
    <n v="58"/>
    <n v="46"/>
    <x v="340"/>
  </r>
  <r>
    <x v="0"/>
    <x v="21"/>
    <x v="4"/>
    <x v="1"/>
    <x v="50"/>
    <x v="4"/>
    <x v="341"/>
    <n v="53"/>
    <n v="509"/>
    <x v="341"/>
  </r>
  <r>
    <x v="0"/>
    <x v="4"/>
    <x v="3"/>
    <x v="4"/>
    <x v="46"/>
    <x v="7"/>
    <x v="342"/>
    <n v="50"/>
    <n v="551"/>
    <x v="342"/>
  </r>
  <r>
    <x v="4"/>
    <x v="18"/>
    <x v="3"/>
    <x v="2"/>
    <x v="49"/>
    <x v="10"/>
    <x v="343"/>
    <n v="185"/>
    <n v="869"/>
    <x v="343"/>
  </r>
  <r>
    <x v="2"/>
    <x v="8"/>
    <x v="1"/>
    <x v="3"/>
    <x v="31"/>
    <x v="5"/>
    <x v="344"/>
    <n v="163"/>
    <n v="792"/>
    <x v="344"/>
  </r>
  <r>
    <x v="0"/>
    <x v="24"/>
    <x v="3"/>
    <x v="3"/>
    <x v="19"/>
    <x v="11"/>
    <x v="345"/>
    <n v="30"/>
    <n v="133"/>
    <x v="345"/>
  </r>
  <r>
    <x v="1"/>
    <x v="7"/>
    <x v="1"/>
    <x v="4"/>
    <x v="12"/>
    <x v="5"/>
    <x v="346"/>
    <n v="73"/>
    <n v="463"/>
    <x v="346"/>
  </r>
  <r>
    <x v="2"/>
    <x v="8"/>
    <x v="1"/>
    <x v="3"/>
    <x v="42"/>
    <x v="8"/>
    <x v="347"/>
    <n v="172"/>
    <n v="626"/>
    <x v="347"/>
  </r>
  <r>
    <x v="4"/>
    <x v="15"/>
    <x v="2"/>
    <x v="2"/>
    <x v="23"/>
    <x v="0"/>
    <x v="348"/>
    <n v="177"/>
    <n v="117"/>
    <x v="348"/>
  </r>
  <r>
    <x v="4"/>
    <x v="22"/>
    <x v="0"/>
    <x v="2"/>
    <x v="1"/>
    <x v="3"/>
    <x v="349"/>
    <n v="142"/>
    <n v="404"/>
    <x v="349"/>
  </r>
  <r>
    <x v="2"/>
    <x v="10"/>
    <x v="4"/>
    <x v="3"/>
    <x v="46"/>
    <x v="11"/>
    <x v="350"/>
    <n v="178"/>
    <n v="538"/>
    <x v="350"/>
  </r>
  <r>
    <x v="0"/>
    <x v="4"/>
    <x v="3"/>
    <x v="4"/>
    <x v="46"/>
    <x v="9"/>
    <x v="351"/>
    <n v="50"/>
    <n v="42"/>
    <x v="351"/>
  </r>
  <r>
    <x v="4"/>
    <x v="23"/>
    <x v="0"/>
    <x v="3"/>
    <x v="39"/>
    <x v="3"/>
    <x v="352"/>
    <n v="147"/>
    <n v="575"/>
    <x v="352"/>
  </r>
  <r>
    <x v="3"/>
    <x v="0"/>
    <x v="0"/>
    <x v="0"/>
    <x v="21"/>
    <x v="5"/>
    <x v="353"/>
    <n v="44"/>
    <n v="446"/>
    <x v="353"/>
  </r>
  <r>
    <x v="2"/>
    <x v="7"/>
    <x v="1"/>
    <x v="4"/>
    <x v="20"/>
    <x v="3"/>
    <x v="354"/>
    <n v="87"/>
    <n v="721"/>
    <x v="354"/>
  </r>
  <r>
    <x v="3"/>
    <x v="0"/>
    <x v="0"/>
    <x v="0"/>
    <x v="9"/>
    <x v="4"/>
    <x v="355"/>
    <n v="173"/>
    <n v="18"/>
    <x v="355"/>
  </r>
  <r>
    <x v="2"/>
    <x v="11"/>
    <x v="4"/>
    <x v="0"/>
    <x v="31"/>
    <x v="5"/>
    <x v="356"/>
    <n v="92"/>
    <n v="395"/>
    <x v="356"/>
  </r>
  <r>
    <x v="3"/>
    <x v="10"/>
    <x v="4"/>
    <x v="3"/>
    <x v="20"/>
    <x v="1"/>
    <x v="357"/>
    <n v="39"/>
    <n v="381"/>
    <x v="357"/>
  </r>
  <r>
    <x v="1"/>
    <x v="2"/>
    <x v="1"/>
    <x v="2"/>
    <x v="32"/>
    <x v="10"/>
    <x v="358"/>
    <n v="147"/>
    <n v="358"/>
    <x v="358"/>
  </r>
  <r>
    <x v="0"/>
    <x v="4"/>
    <x v="3"/>
    <x v="4"/>
    <x v="30"/>
    <x v="6"/>
    <x v="359"/>
    <n v="101"/>
    <n v="15"/>
    <x v="359"/>
  </r>
  <r>
    <x v="2"/>
    <x v="21"/>
    <x v="4"/>
    <x v="1"/>
    <x v="35"/>
    <x v="3"/>
    <x v="360"/>
    <n v="145"/>
    <n v="480"/>
    <x v="360"/>
  </r>
  <r>
    <x v="4"/>
    <x v="16"/>
    <x v="2"/>
    <x v="0"/>
    <x v="26"/>
    <x v="6"/>
    <x v="361"/>
    <n v="102"/>
    <n v="33"/>
    <x v="361"/>
  </r>
  <r>
    <x v="4"/>
    <x v="22"/>
    <x v="0"/>
    <x v="2"/>
    <x v="48"/>
    <x v="10"/>
    <x v="362"/>
    <n v="115"/>
    <n v="656"/>
    <x v="362"/>
  </r>
  <r>
    <x v="3"/>
    <x v="17"/>
    <x v="2"/>
    <x v="4"/>
    <x v="26"/>
    <x v="1"/>
    <x v="363"/>
    <n v="56"/>
    <n v="509"/>
    <x v="363"/>
  </r>
  <r>
    <x v="0"/>
    <x v="8"/>
    <x v="1"/>
    <x v="3"/>
    <x v="7"/>
    <x v="0"/>
    <x v="364"/>
    <n v="156"/>
    <n v="579"/>
    <x v="364"/>
  </r>
  <r>
    <x v="0"/>
    <x v="4"/>
    <x v="3"/>
    <x v="4"/>
    <x v="41"/>
    <x v="4"/>
    <x v="365"/>
    <n v="121"/>
    <n v="528"/>
    <x v="365"/>
  </r>
  <r>
    <x v="3"/>
    <x v="5"/>
    <x v="3"/>
    <x v="1"/>
    <x v="39"/>
    <x v="5"/>
    <x v="366"/>
    <n v="175"/>
    <n v="674"/>
    <x v="366"/>
  </r>
  <r>
    <x v="4"/>
    <x v="12"/>
    <x v="4"/>
    <x v="4"/>
    <x v="14"/>
    <x v="6"/>
    <x v="367"/>
    <n v="126"/>
    <n v="843"/>
    <x v="367"/>
  </r>
  <r>
    <x v="4"/>
    <x v="11"/>
    <x v="4"/>
    <x v="0"/>
    <x v="25"/>
    <x v="6"/>
    <x v="368"/>
    <n v="120"/>
    <n v="472"/>
    <x v="368"/>
  </r>
  <r>
    <x v="4"/>
    <x v="20"/>
    <x v="2"/>
    <x v="1"/>
    <x v="25"/>
    <x v="3"/>
    <x v="369"/>
    <n v="185"/>
    <n v="734"/>
    <x v="369"/>
  </r>
  <r>
    <x v="4"/>
    <x v="2"/>
    <x v="1"/>
    <x v="2"/>
    <x v="15"/>
    <x v="3"/>
    <x v="370"/>
    <n v="58"/>
    <n v="636"/>
    <x v="370"/>
  </r>
  <r>
    <x v="4"/>
    <x v="2"/>
    <x v="1"/>
    <x v="2"/>
    <x v="8"/>
    <x v="11"/>
    <x v="371"/>
    <n v="187"/>
    <n v="606"/>
    <x v="371"/>
  </r>
  <r>
    <x v="0"/>
    <x v="14"/>
    <x v="1"/>
    <x v="1"/>
    <x v="16"/>
    <x v="6"/>
    <x v="372"/>
    <n v="55"/>
    <n v="487"/>
    <x v="372"/>
  </r>
  <r>
    <x v="3"/>
    <x v="23"/>
    <x v="0"/>
    <x v="3"/>
    <x v="9"/>
    <x v="3"/>
    <x v="373"/>
    <n v="65"/>
    <n v="631"/>
    <x v="373"/>
  </r>
  <r>
    <x v="4"/>
    <x v="13"/>
    <x v="1"/>
    <x v="0"/>
    <x v="31"/>
    <x v="10"/>
    <x v="374"/>
    <n v="57"/>
    <n v="875"/>
    <x v="374"/>
  </r>
  <r>
    <x v="2"/>
    <x v="22"/>
    <x v="0"/>
    <x v="2"/>
    <x v="6"/>
    <x v="6"/>
    <x v="375"/>
    <n v="169"/>
    <n v="64"/>
    <x v="375"/>
  </r>
  <r>
    <x v="2"/>
    <x v="16"/>
    <x v="2"/>
    <x v="0"/>
    <x v="18"/>
    <x v="5"/>
    <x v="376"/>
    <n v="88"/>
    <n v="187"/>
    <x v="376"/>
  </r>
  <r>
    <x v="3"/>
    <x v="9"/>
    <x v="0"/>
    <x v="4"/>
    <x v="13"/>
    <x v="6"/>
    <x v="377"/>
    <n v="182"/>
    <n v="336"/>
    <x v="377"/>
  </r>
  <r>
    <x v="2"/>
    <x v="9"/>
    <x v="0"/>
    <x v="4"/>
    <x v="0"/>
    <x v="3"/>
    <x v="378"/>
    <n v="195"/>
    <n v="579"/>
    <x v="378"/>
  </r>
  <r>
    <x v="0"/>
    <x v="15"/>
    <x v="2"/>
    <x v="2"/>
    <x v="27"/>
    <x v="0"/>
    <x v="379"/>
    <n v="80"/>
    <n v="627"/>
    <x v="379"/>
  </r>
  <r>
    <x v="4"/>
    <x v="8"/>
    <x v="1"/>
    <x v="3"/>
    <x v="36"/>
    <x v="0"/>
    <x v="380"/>
    <n v="62"/>
    <n v="116"/>
    <x v="380"/>
  </r>
  <r>
    <x v="3"/>
    <x v="7"/>
    <x v="1"/>
    <x v="4"/>
    <x v="16"/>
    <x v="1"/>
    <x v="381"/>
    <n v="112"/>
    <n v="204"/>
    <x v="381"/>
  </r>
  <r>
    <x v="0"/>
    <x v="21"/>
    <x v="4"/>
    <x v="1"/>
    <x v="11"/>
    <x v="11"/>
    <x v="382"/>
    <n v="168"/>
    <n v="255"/>
    <x v="382"/>
  </r>
  <r>
    <x v="4"/>
    <x v="12"/>
    <x v="4"/>
    <x v="4"/>
    <x v="42"/>
    <x v="9"/>
    <x v="383"/>
    <n v="51"/>
    <n v="126"/>
    <x v="383"/>
  </r>
  <r>
    <x v="1"/>
    <x v="8"/>
    <x v="1"/>
    <x v="3"/>
    <x v="1"/>
    <x v="1"/>
    <x v="384"/>
    <n v="42"/>
    <n v="342"/>
    <x v="384"/>
  </r>
  <r>
    <x v="1"/>
    <x v="23"/>
    <x v="0"/>
    <x v="3"/>
    <x v="0"/>
    <x v="5"/>
    <x v="385"/>
    <n v="181"/>
    <n v="499"/>
    <x v="385"/>
  </r>
  <r>
    <x v="4"/>
    <x v="15"/>
    <x v="2"/>
    <x v="2"/>
    <x v="14"/>
    <x v="9"/>
    <x v="386"/>
    <n v="97"/>
    <n v="364"/>
    <x v="386"/>
  </r>
  <r>
    <x v="2"/>
    <x v="14"/>
    <x v="1"/>
    <x v="1"/>
    <x v="47"/>
    <x v="8"/>
    <x v="387"/>
    <n v="177"/>
    <n v="197"/>
    <x v="387"/>
  </r>
  <r>
    <x v="4"/>
    <x v="23"/>
    <x v="0"/>
    <x v="3"/>
    <x v="0"/>
    <x v="6"/>
    <x v="388"/>
    <n v="114"/>
    <n v="652"/>
    <x v="388"/>
  </r>
  <r>
    <x v="4"/>
    <x v="10"/>
    <x v="4"/>
    <x v="3"/>
    <x v="29"/>
    <x v="4"/>
    <x v="389"/>
    <n v="200"/>
    <n v="278"/>
    <x v="389"/>
  </r>
  <r>
    <x v="4"/>
    <x v="21"/>
    <x v="4"/>
    <x v="1"/>
    <x v="51"/>
    <x v="9"/>
    <x v="390"/>
    <n v="104"/>
    <n v="732"/>
    <x v="390"/>
  </r>
  <r>
    <x v="4"/>
    <x v="3"/>
    <x v="2"/>
    <x v="3"/>
    <x v="36"/>
    <x v="2"/>
    <x v="391"/>
    <n v="92"/>
    <n v="696"/>
    <x v="391"/>
  </r>
  <r>
    <x v="3"/>
    <x v="23"/>
    <x v="0"/>
    <x v="3"/>
    <x v="21"/>
    <x v="4"/>
    <x v="392"/>
    <n v="167"/>
    <n v="416"/>
    <x v="392"/>
  </r>
  <r>
    <x v="3"/>
    <x v="20"/>
    <x v="2"/>
    <x v="1"/>
    <x v="24"/>
    <x v="0"/>
    <x v="393"/>
    <n v="44"/>
    <n v="367"/>
    <x v="393"/>
  </r>
  <r>
    <x v="1"/>
    <x v="8"/>
    <x v="1"/>
    <x v="3"/>
    <x v="0"/>
    <x v="9"/>
    <x v="394"/>
    <n v="193"/>
    <n v="371"/>
    <x v="394"/>
  </r>
  <r>
    <x v="2"/>
    <x v="5"/>
    <x v="3"/>
    <x v="1"/>
    <x v="4"/>
    <x v="11"/>
    <x v="395"/>
    <n v="97"/>
    <n v="170"/>
    <x v="395"/>
  </r>
  <r>
    <x v="4"/>
    <x v="7"/>
    <x v="1"/>
    <x v="4"/>
    <x v="18"/>
    <x v="11"/>
    <x v="396"/>
    <n v="60"/>
    <n v="237"/>
    <x v="396"/>
  </r>
  <r>
    <x v="0"/>
    <x v="15"/>
    <x v="2"/>
    <x v="2"/>
    <x v="31"/>
    <x v="0"/>
    <x v="397"/>
    <n v="120"/>
    <n v="282"/>
    <x v="397"/>
  </r>
  <r>
    <x v="1"/>
    <x v="23"/>
    <x v="0"/>
    <x v="3"/>
    <x v="0"/>
    <x v="5"/>
    <x v="398"/>
    <n v="182"/>
    <n v="340"/>
    <x v="398"/>
  </r>
  <r>
    <x v="3"/>
    <x v="23"/>
    <x v="0"/>
    <x v="3"/>
    <x v="37"/>
    <x v="7"/>
    <x v="399"/>
    <n v="175"/>
    <n v="503"/>
    <x v="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2C239-55F4-453B-B021-6AEF13F80EDC}" name="TablaDiná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H30:I36" firstHeaderRow="1" firstDataRow="1" firstDataCol="1"/>
  <pivotFields count="10"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_$" fld="6" showDataAs="percentOfTotal" baseField="2" baseItem="0" numFmtId="10"/>
  </dataFields>
  <chartFormats count="1">
    <chartFormat chart="1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03D06-38A9-4CB0-9FD5-13A4856656F8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12:F65" firstHeaderRow="1" firstDataRow="1" firstDataCol="1"/>
  <pivotFields count="10">
    <pivotField showAll="0"/>
    <pivotField showAll="0"/>
    <pivotField showAll="0"/>
    <pivotField showAll="0"/>
    <pivotField axis="axisRow" showAll="0">
      <items count="53">
        <item x="6"/>
        <item x="7"/>
        <item x="28"/>
        <item x="8"/>
        <item x="43"/>
        <item x="23"/>
        <item x="30"/>
        <item x="41"/>
        <item x="2"/>
        <item x="33"/>
        <item x="36"/>
        <item x="1"/>
        <item x="37"/>
        <item x="16"/>
        <item x="17"/>
        <item x="29"/>
        <item x="50"/>
        <item x="0"/>
        <item x="31"/>
        <item x="40"/>
        <item x="22"/>
        <item x="46"/>
        <item x="24"/>
        <item x="51"/>
        <item x="20"/>
        <item x="35"/>
        <item x="25"/>
        <item x="39"/>
        <item x="38"/>
        <item x="44"/>
        <item x="45"/>
        <item x="21"/>
        <item x="48"/>
        <item x="32"/>
        <item x="27"/>
        <item x="14"/>
        <item x="42"/>
        <item x="5"/>
        <item x="49"/>
        <item x="26"/>
        <item x="47"/>
        <item x="15"/>
        <item x="3"/>
        <item x="11"/>
        <item x="34"/>
        <item x="9"/>
        <item x="4"/>
        <item x="12"/>
        <item x="10"/>
        <item x="19"/>
        <item x="18"/>
        <item x="1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a de Venta_$" fld="6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C3A6A-9DED-46BA-A01C-48CC767CCDF5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B12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a de Inventari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4A51F-6082-4F91-9456-B826479A0C47}" name="TablaDiná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H17:I28" firstHeaderRow="1" firstDataRow="1" firstDataCol="1"/>
  <pivotFields count="10">
    <pivotField showAll="0"/>
    <pivotField axis="axisRow" showAll="0" measureFilter="1" sortType="descending">
      <items count="26">
        <item x="11"/>
        <item x="12"/>
        <item x="21"/>
        <item x="19"/>
        <item x="10"/>
        <item x="13"/>
        <item x="7"/>
        <item x="14"/>
        <item x="2"/>
        <item x="8"/>
        <item x="6"/>
        <item x="4"/>
        <item x="5"/>
        <item x="18"/>
        <item x="24"/>
        <item x="0"/>
        <item x="9"/>
        <item x="1"/>
        <item x="22"/>
        <item x="23"/>
        <item x="16"/>
        <item x="17"/>
        <item x="20"/>
        <item x="1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12"/>
    </i>
    <i>
      <x v="9"/>
    </i>
    <i>
      <x v="10"/>
    </i>
    <i>
      <x v="18"/>
    </i>
    <i>
      <x v="11"/>
    </i>
    <i>
      <x v="5"/>
    </i>
    <i>
      <x v="19"/>
    </i>
    <i>
      <x v="16"/>
    </i>
    <i>
      <x v="4"/>
    </i>
    <i>
      <x v="23"/>
    </i>
    <i t="grand">
      <x/>
    </i>
  </rowItems>
  <colItems count="1">
    <i/>
  </colItems>
  <dataFields count="1">
    <dataField name="Suma de Venta_$" fld="6" baseField="0" baseItem="0"/>
  </dataFields>
  <chartFormats count="1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03FFC-2AE4-4E05-BBCC-C12E05810454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D2:E8" firstHeaderRow="1" firstDataRow="1" firstDataCol="1"/>
  <pivotFields count="10">
    <pivotField axis="axisRow" showAll="0" sortType="descending">
      <items count="6">
        <item x="3"/>
        <item x="1"/>
        <item x="2"/>
        <item x="0"/>
        <item x="4"/>
        <item t="default"/>
      </items>
    </pivotField>
    <pivotField showAll="0"/>
    <pivotField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_$" fld="6" baseField="0" baseItem="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F635F-EA50-4C5F-9394-A9FF791C8681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B9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Promedio de Precio_promedio_por_unidad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E7910-FF4E-4E0C-A621-49B60E8CE62D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4:C27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">
        <item x="4"/>
        <item x="8"/>
        <item x="9"/>
        <item x="11"/>
        <item x="7"/>
        <item x="5"/>
        <item x="1"/>
        <item x="0"/>
        <item x="2"/>
        <item x="3"/>
        <item x="10"/>
        <item x="6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enta_$" fld="6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53056-75E2-4BE0-BC36-6401805612E4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6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a de Venta_Un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87695-0BF8-4AB0-B380-BB4CD9198854}" name="TablaDiná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8:J64" firstHeaderRow="0" firstDataRow="1" firstDataCol="1"/>
  <pivotFields count="10">
    <pivotField showAll="0"/>
    <pivotField axis="axisRow" showAll="0">
      <items count="26">
        <item x="11"/>
        <item x="12"/>
        <item x="21"/>
        <item x="19"/>
        <item x="10"/>
        <item x="13"/>
        <item x="7"/>
        <item x="14"/>
        <item x="2"/>
        <item x="8"/>
        <item x="6"/>
        <item x="4"/>
        <item x="5"/>
        <item x="18"/>
        <item x="24"/>
        <item x="0"/>
        <item x="9"/>
        <item x="1"/>
        <item x="22"/>
        <item x="23"/>
        <item x="16"/>
        <item x="17"/>
        <item x="20"/>
        <item x="15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nventario" fld="8" baseField="0" baseItem="0"/>
    <dataField name="Suma de Venta_$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65148-7E1A-4FB5-97F1-10AD52DD8FB4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H2:J15" firstHeaderRow="0" firstDataRow="1" firstDataCol="1"/>
  <pivotFields count="10"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>
      <items count="6">
        <item x="0"/>
        <item x="4"/>
        <item x="1"/>
        <item x="2"/>
        <item x="3"/>
        <item t="default"/>
      </items>
    </pivotField>
    <pivotField showAll="0"/>
    <pivotField axis="axisRow" showAll="0">
      <items count="13">
        <item x="4"/>
        <item x="8"/>
        <item x="9"/>
        <item x="11"/>
        <item x="7"/>
        <item x="5"/>
        <item x="1"/>
        <item x="0"/>
        <item x="2"/>
        <item x="3"/>
        <item x="10"/>
        <item x="6"/>
        <item t="default"/>
      </items>
    </pivotField>
    <pivotField dataField="1" showAll="0"/>
    <pivotField dataField="1"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_$" fld="6" baseField="0" baseItem="0"/>
    <dataField name="Suma de Venta_Und" fld="7" baseField="0" baseItem="0"/>
  </dataFields>
  <chartFormats count="2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E1134-38D1-48FD-A500-6AA763F44AC1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dataField="1" showAll="0">
      <items count="401">
        <item x="322"/>
        <item x="90"/>
        <item x="187"/>
        <item x="98"/>
        <item x="168"/>
        <item x="129"/>
        <item x="1"/>
        <item x="292"/>
        <item x="270"/>
        <item x="236"/>
        <item x="75"/>
        <item x="300"/>
        <item x="181"/>
        <item x="159"/>
        <item x="326"/>
        <item x="284"/>
        <item x="97"/>
        <item x="209"/>
        <item x="211"/>
        <item x="241"/>
        <item x="285"/>
        <item x="125"/>
        <item x="345"/>
        <item x="353"/>
        <item x="357"/>
        <item x="296"/>
        <item x="384"/>
        <item x="262"/>
        <item x="215"/>
        <item x="333"/>
        <item x="315"/>
        <item x="147"/>
        <item x="166"/>
        <item x="363"/>
        <item x="277"/>
        <item x="13"/>
        <item x="393"/>
        <item x="199"/>
        <item x="319"/>
        <item x="2"/>
        <item x="131"/>
        <item x="219"/>
        <item x="48"/>
        <item x="52"/>
        <item x="342"/>
        <item x="272"/>
        <item x="340"/>
        <item x="200"/>
        <item x="62"/>
        <item x="99"/>
        <item x="204"/>
        <item x="341"/>
        <item x="286"/>
        <item x="85"/>
        <item x="27"/>
        <item x="373"/>
        <item x="237"/>
        <item x="130"/>
        <item x="70"/>
        <item x="279"/>
        <item x="190"/>
        <item x="337"/>
        <item x="372"/>
        <item x="74"/>
        <item x="138"/>
        <item x="330"/>
        <item x="383"/>
        <item x="197"/>
        <item x="184"/>
        <item x="127"/>
        <item x="76"/>
        <item x="222"/>
        <item x="311"/>
        <item x="43"/>
        <item x="321"/>
        <item x="351"/>
        <item x="106"/>
        <item x="202"/>
        <item x="288"/>
        <item x="374"/>
        <item x="71"/>
        <item x="244"/>
        <item x="25"/>
        <item x="213"/>
        <item x="72"/>
        <item x="196"/>
        <item x="256"/>
        <item x="205"/>
        <item x="134"/>
        <item x="183"/>
        <item x="158"/>
        <item x="113"/>
        <item x="186"/>
        <item x="0"/>
        <item x="95"/>
        <item x="16"/>
        <item x="148"/>
        <item x="33"/>
        <item x="118"/>
        <item x="36"/>
        <item x="327"/>
        <item x="102"/>
        <item x="380"/>
        <item x="139"/>
        <item x="299"/>
        <item x="396"/>
        <item x="332"/>
        <item x="39"/>
        <item x="346"/>
        <item x="370"/>
        <item x="324"/>
        <item x="66"/>
        <item x="9"/>
        <item x="354"/>
        <item x="258"/>
        <item x="191"/>
        <item x="269"/>
        <item x="390"/>
        <item x="243"/>
        <item x="22"/>
        <item x="103"/>
        <item x="276"/>
        <item x="338"/>
        <item x="57"/>
        <item x="298"/>
        <item x="252"/>
        <item x="176"/>
        <item x="14"/>
        <item x="361"/>
        <item x="68"/>
        <item x="295"/>
        <item x="92"/>
        <item x="328"/>
        <item x="152"/>
        <item x="334"/>
        <item x="368"/>
        <item x="376"/>
        <item x="245"/>
        <item x="83"/>
        <item x="160"/>
        <item x="227"/>
        <item x="59"/>
        <item x="82"/>
        <item x="121"/>
        <item x="5"/>
        <item x="225"/>
        <item x="115"/>
        <item x="153"/>
        <item x="34"/>
        <item x="96"/>
        <item x="143"/>
        <item x="108"/>
        <item x="331"/>
        <item x="101"/>
        <item x="379"/>
        <item x="116"/>
        <item x="188"/>
        <item x="253"/>
        <item x="105"/>
        <item x="216"/>
        <item x="302"/>
        <item x="79"/>
        <item x="249"/>
        <item x="91"/>
        <item x="165"/>
        <item x="151"/>
        <item x="89"/>
        <item x="80"/>
        <item x="55"/>
        <item x="32"/>
        <item x="271"/>
        <item x="155"/>
        <item x="41"/>
        <item x="73"/>
        <item x="281"/>
        <item x="35"/>
        <item x="173"/>
        <item x="303"/>
        <item x="336"/>
        <item x="3"/>
        <item x="111"/>
        <item x="157"/>
        <item x="290"/>
        <item x="386"/>
        <item x="388"/>
        <item x="87"/>
        <item x="65"/>
        <item x="224"/>
        <item x="260"/>
        <item x="164"/>
        <item x="362"/>
        <item x="179"/>
        <item x="104"/>
        <item x="185"/>
        <item x="195"/>
        <item x="171"/>
        <item x="223"/>
        <item x="154"/>
        <item x="124"/>
        <item x="81"/>
        <item x="359"/>
        <item x="391"/>
        <item x="67"/>
        <item x="192"/>
        <item x="117"/>
        <item x="309"/>
        <item x="356"/>
        <item x="177"/>
        <item x="305"/>
        <item x="218"/>
        <item x="313"/>
        <item x="161"/>
        <item x="329"/>
        <item x="11"/>
        <item x="30"/>
        <item x="198"/>
        <item x="120"/>
        <item x="49"/>
        <item x="110"/>
        <item x="145"/>
        <item x="141"/>
        <item x="42"/>
        <item x="395"/>
        <item x="69"/>
        <item x="306"/>
        <item x="7"/>
        <item x="46"/>
        <item x="86"/>
        <item x="226"/>
        <item x="264"/>
        <item x="350"/>
        <item x="232"/>
        <item x="20"/>
        <item x="17"/>
        <item x="251"/>
        <item x="21"/>
        <item x="308"/>
        <item x="44"/>
        <item x="170"/>
        <item x="189"/>
        <item x="6"/>
        <item x="15"/>
        <item x="212"/>
        <item x="323"/>
        <item x="371"/>
        <item x="10"/>
        <item x="381"/>
        <item x="93"/>
        <item x="259"/>
        <item x="382"/>
        <item x="347"/>
        <item x="214"/>
        <item x="399"/>
        <item x="320"/>
        <item x="348"/>
        <item x="194"/>
        <item x="175"/>
        <item x="355"/>
        <item x="132"/>
        <item x="265"/>
        <item x="287"/>
        <item x="28"/>
        <item x="389"/>
        <item x="37"/>
        <item x="310"/>
        <item x="140"/>
        <item x="84"/>
        <item x="273"/>
        <item x="274"/>
        <item x="397"/>
        <item x="367"/>
        <item x="369"/>
        <item x="50"/>
        <item x="137"/>
        <item x="392"/>
        <item x="12"/>
        <item x="240"/>
        <item x="394"/>
        <item x="208"/>
        <item x="51"/>
        <item x="220"/>
        <item x="358"/>
        <item x="100"/>
        <item x="133"/>
        <item x="156"/>
        <item x="247"/>
        <item x="283"/>
        <item x="142"/>
        <item x="107"/>
        <item x="375"/>
        <item x="180"/>
        <item x="325"/>
        <item x="257"/>
        <item x="365"/>
        <item x="335"/>
        <item x="378"/>
        <item x="182"/>
        <item x="54"/>
        <item x="317"/>
        <item x="268"/>
        <item x="291"/>
        <item x="64"/>
        <item x="398"/>
        <item x="207"/>
        <item x="150"/>
        <item x="235"/>
        <item x="119"/>
        <item x="77"/>
        <item x="163"/>
        <item x="360"/>
        <item x="318"/>
        <item x="78"/>
        <item x="234"/>
        <item x="312"/>
        <item x="169"/>
        <item x="162"/>
        <item x="339"/>
        <item x="293"/>
        <item x="280"/>
        <item x="172"/>
        <item x="123"/>
        <item x="58"/>
        <item x="144"/>
        <item x="128"/>
        <item x="23"/>
        <item x="19"/>
        <item x="149"/>
        <item x="122"/>
        <item x="263"/>
        <item x="364"/>
        <item x="385"/>
        <item x="352"/>
        <item x="266"/>
        <item x="344"/>
        <item x="63"/>
        <item x="238"/>
        <item x="201"/>
        <item x="301"/>
        <item x="47"/>
        <item x="146"/>
        <item x="135"/>
        <item x="349"/>
        <item x="203"/>
        <item x="387"/>
        <item x="250"/>
        <item x="136"/>
        <item x="126"/>
        <item x="206"/>
        <item x="210"/>
        <item x="242"/>
        <item x="228"/>
        <item x="294"/>
        <item x="289"/>
        <item x="366"/>
        <item x="246"/>
        <item x="230"/>
        <item x="31"/>
        <item x="38"/>
        <item x="316"/>
        <item x="167"/>
        <item x="193"/>
        <item x="56"/>
        <item x="304"/>
        <item x="18"/>
        <item x="8"/>
        <item x="267"/>
        <item x="178"/>
        <item x="40"/>
        <item x="112"/>
        <item x="377"/>
        <item x="24"/>
        <item x="255"/>
        <item x="282"/>
        <item x="278"/>
        <item x="61"/>
        <item x="233"/>
        <item x="174"/>
        <item x="217"/>
        <item x="53"/>
        <item x="307"/>
        <item x="88"/>
        <item x="4"/>
        <item x="275"/>
        <item x="314"/>
        <item x="26"/>
        <item x="248"/>
        <item x="229"/>
        <item x="29"/>
        <item x="94"/>
        <item x="45"/>
        <item x="261"/>
        <item x="239"/>
        <item x="231"/>
        <item x="254"/>
        <item x="114"/>
        <item x="343"/>
        <item x="297"/>
        <item x="60"/>
        <item x="109"/>
        <item x="221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a de Venta_$" fld="6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3CDF841E-2B96-4283-B829-7F7864B22FC3}" sourceName="Mes">
  <pivotTables>
    <pivotTable tabId="3" name="TablaDinámica9"/>
  </pivotTables>
  <data>
    <tabular pivotCacheId="1598646542">
      <items count="12">
        <i x="4" s="1"/>
        <i x="8" s="1"/>
        <i x="9" s="1"/>
        <i x="11" s="1"/>
        <i x="7" s="1"/>
        <i x="5" s="1"/>
        <i x="1" s="1"/>
        <i x="0" s="1"/>
        <i x="2" s="1"/>
        <i x="3" s="1"/>
        <i x="10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Area" xr10:uid="{EB08D0D6-25F9-411E-9369-B68371732D42}" sourceName="Product_Area">
  <pivotTables>
    <pivotTable tabId="3" name="TablaDinámica9"/>
  </pivotTables>
  <data>
    <tabular pivotCacheId="1598646542">
      <items count="5">
        <i x="4" s="1"/>
        <i x="0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mily" xr10:uid="{8C98CB83-798E-4668-96CE-3AB4347D8C7A}" sourceName="Family">
  <pivotTables>
    <pivotTable tabId="3" name="TablaDinámica5"/>
  </pivotTables>
  <data>
    <tabular pivotCacheId="1598646542">
      <items count="5">
        <i x="4" s="1"/>
        <i x="1" s="1"/>
        <i x="3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Type" xr10:uid="{77B06236-3F27-4D15-9E59-BE594122EFC5}" sourceName="Product_Type">
  <pivotTables>
    <pivotTable tabId="3" name="TablaDinámica9"/>
  </pivotTables>
  <data>
    <tabular pivotCacheId="1598646542">
      <items count="5">
        <i x="0" s="1"/>
        <i x="4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8222AFE0-B35E-455B-A50A-F9FA7BA99F9E}" cache="SegmentaciónDeDatos_Mes" caption="Mes" columnCount="2" style="SlicerStyleDark1" rowHeight="241300"/>
  <slicer name="Product_Area" xr10:uid="{3D9B75D1-F485-4F00-8552-F1C7DA0A3C43}" cache="SegmentaciónDeDatos_Product_Area" caption="Product_Area" style="SlicerStyleDark1" rowHeight="241300"/>
  <slicer name="Family" xr10:uid="{29953F71-06F8-40FF-8E5E-4412DA6C69F0}" cache="SegmentaciónDeDatos_Family" caption="Family" style="SlicerStyleDark1" rowHeight="241300"/>
  <slicer name="Product_Type" xr10:uid="{E9D42E8D-74C2-4DAB-875F-E28D6517AB6B}" cache="SegmentaciónDeDatos_Product_Type" caption="Product_Type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2C71D-F669-4064-B598-565A627C49E2}" name="Tabla1" displayName="Tabla1" ref="A1:K401" totalsRowShown="0">
  <autoFilter ref="A1:K401" xr:uid="{0932C71D-F669-4064-B598-565A627C49E2}"/>
  <tableColumns count="11">
    <tableColumn id="1" xr3:uid="{3AEE676B-762F-40EA-95B5-1F5101F6FA15}" name="Product_Area"/>
    <tableColumn id="2" xr3:uid="{19190EC5-9E27-4C17-A53F-F70A4B546CEF}" name="Item_Name"/>
    <tableColumn id="3" xr3:uid="{162FD8FB-0C68-41E2-AC50-CB92244FE110}" name="Family"/>
    <tableColumn id="4" xr3:uid="{11F2FF9A-7285-46FC-9E29-8E475EA1ABAD}" name="Product_Type"/>
    <tableColumn id="5" xr3:uid="{5FF303E0-D27B-4A60-A371-BCE187C3172D}" name="Week"/>
    <tableColumn id="6" xr3:uid="{C9822AC7-0B0E-42F1-8014-5B88704AC117}" name="Mes"/>
    <tableColumn id="12" xr3:uid="{435F9995-84E1-4B31-BE7A-FB72F83B3910}" name="Mes_numero" dataDxfId="1">
      <calculatedColumnFormula array="1">_xlfn.SWITCH(LOWER(TRIM(F2)),
"enero",1,
"febrero",2,
"marzo",3,
"abril",4,
"mayo",5,
"junio",6,
"julio",7,
"agosto",8,
"septiembre",9,
"octubre",10,
"noviembre",11,
"diciembre",12)</calculatedColumnFormula>
    </tableColumn>
    <tableColumn id="7" xr3:uid="{12CA2C69-572F-42DF-BB1B-8F7B3B203D8A}" name="Venta_$"/>
    <tableColumn id="8" xr3:uid="{21B1E18D-E7F5-464D-B93E-6F85A7212316}" name="Venta_Und"/>
    <tableColumn id="9" xr3:uid="{4BCC7EA3-9542-4EFD-B089-EF0C54E8784D}" name="Inventario"/>
    <tableColumn id="10" xr3:uid="{160C2E9F-E68D-4084-B4E8-0382207BCF2E}" name="Precio_promedio_por_unida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FF8A9B-FAF2-40D2-8642-EDF730E6D895}">
  <we:reference id="wa200005669" version="2.0.0.0" store="es-E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79998168889431442"/>
  </sheetPr>
  <dimension ref="A1:K401"/>
  <sheetViews>
    <sheetView topLeftCell="A2" workbookViewId="0">
      <selection activeCell="F15" sqref="F15"/>
    </sheetView>
  </sheetViews>
  <sheetFormatPr baseColWidth="10" defaultColWidth="9.140625" defaultRowHeight="15" x14ac:dyDescent="0.25"/>
  <cols>
    <col min="1" max="1" width="19.85546875" bestFit="1" customWidth="1"/>
    <col min="2" max="2" width="22.42578125" bestFit="1" customWidth="1"/>
    <col min="3" max="3" width="11.42578125" bestFit="1" customWidth="1"/>
    <col min="4" max="4" width="15.28515625" customWidth="1"/>
    <col min="6" max="6" width="11.28515625" bestFit="1" customWidth="1"/>
    <col min="7" max="7" width="11.28515625" customWidth="1"/>
    <col min="8" max="8" width="10.42578125" customWidth="1"/>
    <col min="9" max="9" width="13.140625" customWidth="1"/>
    <col min="10" max="10" width="12.28515625" customWidth="1"/>
    <col min="11" max="11" width="29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69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>
        <v>18</v>
      </c>
      <c r="F2" t="s">
        <v>14</v>
      </c>
      <c r="G2" s="6" cm="1">
        <f t="array" ref="G2">_xlfn.SWITCH(LOWER(TRIM(F2)),
"enero",1,
"febrero",2,
"marzo",3,
"abril",4,
"mayo",5,
"junio",6,
"julio",7,
"agosto",8,
"septiembre",9,
"octubre",10,
"noviembre",11,
"diciembre",12)</f>
        <v>8</v>
      </c>
      <c r="H2">
        <v>3356955</v>
      </c>
      <c r="I2">
        <v>63</v>
      </c>
      <c r="J2">
        <v>162</v>
      </c>
      <c r="K2">
        <v>53285</v>
      </c>
    </row>
    <row r="3" spans="1:11" x14ac:dyDescent="0.25">
      <c r="A3" t="s">
        <v>15</v>
      </c>
      <c r="B3" t="s">
        <v>16</v>
      </c>
      <c r="C3" t="s">
        <v>12</v>
      </c>
      <c r="D3" t="s">
        <v>17</v>
      </c>
      <c r="E3">
        <v>12</v>
      </c>
      <c r="F3" t="s">
        <v>14</v>
      </c>
      <c r="G3" cm="1">
        <f t="array" ref="G3">_xlfn.SWITCH(LOWER(TRIM(F3)),
"enero",1,
"febrero",2,
"marzo",3,
"abril",4,
"mayo",5,
"junio",6,
"julio",7,
"agosto",8,
"septiembre",9,
"octubre",10,
"noviembre",11,
"diciembre",12)</f>
        <v>8</v>
      </c>
      <c r="H3">
        <v>1421312</v>
      </c>
      <c r="I3">
        <v>32</v>
      </c>
      <c r="J3">
        <v>716</v>
      </c>
      <c r="K3">
        <v>44416</v>
      </c>
    </row>
    <row r="4" spans="1:11" x14ac:dyDescent="0.25">
      <c r="A4" t="s">
        <v>18</v>
      </c>
      <c r="B4" t="s">
        <v>19</v>
      </c>
      <c r="C4" t="s">
        <v>20</v>
      </c>
      <c r="D4" t="s">
        <v>21</v>
      </c>
      <c r="E4">
        <v>9</v>
      </c>
      <c r="F4" t="s">
        <v>22</v>
      </c>
      <c r="G4" cm="1">
        <f t="array" ref="G4">_xlfn.SWITCH(LOWER(TRIM(F4)),
"enero",1,
"febrero",2,
"marzo",3,
"abril",4,
"mayo",5,
"junio",6,
"julio",7,
"agosto",8,
"septiembre",9,
"octubre",10,
"noviembre",11,
"diciembre",12)</f>
        <v>7</v>
      </c>
      <c r="H4">
        <v>2349726</v>
      </c>
      <c r="I4">
        <v>46</v>
      </c>
      <c r="J4">
        <v>881</v>
      </c>
      <c r="K4">
        <v>51081</v>
      </c>
    </row>
    <row r="5" spans="1:11" x14ac:dyDescent="0.25">
      <c r="A5" t="s">
        <v>10</v>
      </c>
      <c r="B5" t="s">
        <v>23</v>
      </c>
      <c r="C5" t="s">
        <v>24</v>
      </c>
      <c r="D5" t="s">
        <v>25</v>
      </c>
      <c r="E5">
        <v>43</v>
      </c>
      <c r="F5" t="s">
        <v>26</v>
      </c>
      <c r="G5" cm="1">
        <f t="array" ref="G5">_xlfn.SWITCH(LOWER(TRIM(F5)),
"enero",1,
"febrero",2,
"marzo",3,
"abril",4,
"mayo",5,
"junio",6,
"julio",7,
"agosto",8,
"septiembre",9,
"octubre",10,
"noviembre",11,
"diciembre",12)</f>
        <v>9</v>
      </c>
      <c r="H5">
        <v>5139572</v>
      </c>
      <c r="I5">
        <v>89</v>
      </c>
      <c r="J5">
        <v>835</v>
      </c>
      <c r="K5">
        <v>57748</v>
      </c>
    </row>
    <row r="6" spans="1:11" x14ac:dyDescent="0.25">
      <c r="A6" t="s">
        <v>18</v>
      </c>
      <c r="B6" t="s">
        <v>27</v>
      </c>
      <c r="C6" t="s">
        <v>28</v>
      </c>
      <c r="D6" t="s">
        <v>29</v>
      </c>
      <c r="E6">
        <v>47</v>
      </c>
      <c r="F6" t="s">
        <v>30</v>
      </c>
      <c r="G6" cm="1">
        <f t="array" ref="G6">_xlfn.SWITCH(LOWER(TRIM(F6)),
"enero",1,
"febrero",2,
"marzo",3,
"abril",4,
"mayo",5,
"junio",6,
"julio",7,
"agosto",8,
"septiembre",9,
"octubre",10,
"noviembre",11,
"diciembre",12)</f>
        <v>10</v>
      </c>
      <c r="H6">
        <v>10998738</v>
      </c>
      <c r="I6">
        <v>186</v>
      </c>
      <c r="J6">
        <v>632</v>
      </c>
      <c r="K6">
        <v>59133</v>
      </c>
    </row>
    <row r="7" spans="1:11" x14ac:dyDescent="0.25">
      <c r="A7" t="s">
        <v>31</v>
      </c>
      <c r="B7" t="s">
        <v>32</v>
      </c>
      <c r="C7" t="s">
        <v>28</v>
      </c>
      <c r="D7" t="s">
        <v>17</v>
      </c>
      <c r="E7">
        <v>38</v>
      </c>
      <c r="F7" t="s">
        <v>33</v>
      </c>
      <c r="G7" cm="1">
        <f t="array" ref="G7">_xlfn.SWITCH(LOWER(TRIM(F7)),
"enero",1,
"febrero",2,
"marzo",3,
"abril",4,
"mayo",5,
"junio",6,
"julio",7,
"agosto",8,
"septiembre",9,
"octubre",10,
"noviembre",11,
"diciembre",12)</f>
        <v>1</v>
      </c>
      <c r="H7">
        <v>4445307</v>
      </c>
      <c r="I7">
        <v>113</v>
      </c>
      <c r="J7">
        <v>844</v>
      </c>
      <c r="K7">
        <v>39339</v>
      </c>
    </row>
    <row r="8" spans="1:11" x14ac:dyDescent="0.25">
      <c r="A8" t="s">
        <v>18</v>
      </c>
      <c r="B8" t="s">
        <v>34</v>
      </c>
      <c r="C8" t="s">
        <v>28</v>
      </c>
      <c r="D8" t="s">
        <v>13</v>
      </c>
      <c r="E8">
        <v>1</v>
      </c>
      <c r="F8" t="s">
        <v>35</v>
      </c>
      <c r="G8" cm="1">
        <f t="array" ref="G8">_xlfn.SWITCH(LOWER(TRIM(F8)),
"enero",1,
"febrero",2,
"marzo",3,
"abril",4,
"mayo",5,
"junio",6,
"julio",7,
"agosto",8,
"septiembre",9,
"octubre",10,
"noviembre",11,
"diciembre",12)</f>
        <v>6</v>
      </c>
      <c r="H8">
        <v>6541064</v>
      </c>
      <c r="I8">
        <v>166</v>
      </c>
      <c r="J8">
        <v>299</v>
      </c>
      <c r="K8">
        <v>39404</v>
      </c>
    </row>
    <row r="9" spans="1:11" x14ac:dyDescent="0.25">
      <c r="A9" t="s">
        <v>31</v>
      </c>
      <c r="B9" t="s">
        <v>36</v>
      </c>
      <c r="C9" t="s">
        <v>20</v>
      </c>
      <c r="D9" t="s">
        <v>29</v>
      </c>
      <c r="E9">
        <v>2</v>
      </c>
      <c r="F9" t="s">
        <v>22</v>
      </c>
      <c r="G9" cm="1">
        <f t="array" ref="G9">_xlfn.SWITCH(LOWER(TRIM(F9)),
"enero",1,
"febrero",2,
"marzo",3,
"abril",4,
"mayo",5,
"junio",6,
"julio",7,
"agosto",8,
"septiembre",9,
"octubre",10,
"noviembre",11,
"diciembre",12)</f>
        <v>7</v>
      </c>
      <c r="H9">
        <v>6161225</v>
      </c>
      <c r="I9">
        <v>109</v>
      </c>
      <c r="J9">
        <v>803</v>
      </c>
      <c r="K9">
        <v>56525</v>
      </c>
    </row>
    <row r="10" spans="1:11" x14ac:dyDescent="0.25">
      <c r="A10" t="s">
        <v>37</v>
      </c>
      <c r="B10" t="s">
        <v>38</v>
      </c>
      <c r="C10" t="s">
        <v>20</v>
      </c>
      <c r="D10" t="s">
        <v>25</v>
      </c>
      <c r="E10">
        <v>4</v>
      </c>
      <c r="F10" t="s">
        <v>39</v>
      </c>
      <c r="G10" cm="1">
        <f t="array" ref="G10">_xlfn.SWITCH(LOWER(TRIM(F10)),
"enero",1,
"febrero",2,
"marzo",3,
"abril",4,
"mayo",5,
"junio",6,
"julio",7,
"agosto",8,
"septiembre",9,
"octubre",10,
"noviembre",11,
"diciembre",12)</f>
        <v>12</v>
      </c>
      <c r="H10">
        <v>10229976</v>
      </c>
      <c r="I10">
        <v>162</v>
      </c>
      <c r="J10">
        <v>861</v>
      </c>
      <c r="K10">
        <v>63148</v>
      </c>
    </row>
    <row r="11" spans="1:11" x14ac:dyDescent="0.25">
      <c r="A11" t="s">
        <v>31</v>
      </c>
      <c r="B11" t="s">
        <v>40</v>
      </c>
      <c r="C11" t="s">
        <v>12</v>
      </c>
      <c r="D11" t="s">
        <v>29</v>
      </c>
      <c r="E11">
        <v>46</v>
      </c>
      <c r="F11" t="s">
        <v>26</v>
      </c>
      <c r="G11" cm="1">
        <f t="array" ref="G11">_xlfn.SWITCH(LOWER(TRIM(F11)),
"enero",1,
"febrero",2,
"marzo",3,
"abril",4,
"mayo",5,
"junio",6,
"julio",7,
"agosto",8,
"septiembre",9,
"octubre",10,
"noviembre",11,
"diciembre",12)</f>
        <v>9</v>
      </c>
      <c r="H11">
        <v>3665115</v>
      </c>
      <c r="I11">
        <v>85</v>
      </c>
      <c r="J11">
        <v>96</v>
      </c>
      <c r="K11">
        <v>43119</v>
      </c>
    </row>
    <row r="12" spans="1:11" x14ac:dyDescent="0.25">
      <c r="A12" t="s">
        <v>31</v>
      </c>
      <c r="B12" t="s">
        <v>40</v>
      </c>
      <c r="C12" t="s">
        <v>12</v>
      </c>
      <c r="D12" t="s">
        <v>29</v>
      </c>
      <c r="E12">
        <v>43</v>
      </c>
      <c r="F12" t="s">
        <v>14</v>
      </c>
      <c r="G12" cm="1">
        <f t="array" ref="G12">_xlfn.SWITCH(LOWER(TRIM(F12)),
"enero",1,
"febrero",2,
"marzo",3,
"abril",4,
"mayo",5,
"junio",6,
"julio",7,
"agosto",8,
"septiembre",9,
"octubre",10,
"noviembre",11,
"diciembre",12)</f>
        <v>8</v>
      </c>
      <c r="H12">
        <v>6697215</v>
      </c>
      <c r="I12">
        <v>171</v>
      </c>
      <c r="J12">
        <v>875</v>
      </c>
      <c r="K12">
        <v>39165</v>
      </c>
    </row>
    <row r="13" spans="1:11" x14ac:dyDescent="0.25">
      <c r="A13" t="s">
        <v>18</v>
      </c>
      <c r="B13" t="s">
        <v>36</v>
      </c>
      <c r="C13" t="s">
        <v>20</v>
      </c>
      <c r="D13" t="s">
        <v>29</v>
      </c>
      <c r="E13">
        <v>49</v>
      </c>
      <c r="F13" t="s">
        <v>35</v>
      </c>
      <c r="G13" cm="1">
        <f t="array" ref="G13">_xlfn.SWITCH(LOWER(TRIM(F13)),
"enero",1,
"febrero",2,
"marzo",3,
"abril",4,
"mayo",5,
"junio",6,
"julio",7,
"agosto",8,
"septiembre",9,
"octubre",10,
"noviembre",11,
"diciembre",12)</f>
        <v>6</v>
      </c>
      <c r="H13">
        <v>5856400</v>
      </c>
      <c r="I13">
        <v>121</v>
      </c>
      <c r="J13">
        <v>139</v>
      </c>
      <c r="K13">
        <v>48400</v>
      </c>
    </row>
    <row r="14" spans="1:11" x14ac:dyDescent="0.25">
      <c r="A14" t="s">
        <v>18</v>
      </c>
      <c r="B14" t="s">
        <v>41</v>
      </c>
      <c r="C14" t="s">
        <v>42</v>
      </c>
      <c r="D14" t="s">
        <v>25</v>
      </c>
      <c r="E14">
        <v>46</v>
      </c>
      <c r="F14" t="s">
        <v>43</v>
      </c>
      <c r="G14" cm="1">
        <f t="array" ref="G14">_xlfn.SWITCH(LOWER(TRIM(F14)),
"enero",1,
"febrero",2,
"marzo",3,
"abril",4,
"mayo",5,
"junio",6,
"julio",7,
"agosto",8,
"septiembre",9,
"octubre",10,
"noviembre",11,
"diciembre",12)</f>
        <v>5</v>
      </c>
      <c r="H14">
        <v>7407666</v>
      </c>
      <c r="I14">
        <v>126</v>
      </c>
      <c r="J14">
        <v>256</v>
      </c>
      <c r="K14">
        <v>58791</v>
      </c>
    </row>
    <row r="15" spans="1:11" x14ac:dyDescent="0.25">
      <c r="A15" t="s">
        <v>15</v>
      </c>
      <c r="B15" t="s">
        <v>44</v>
      </c>
      <c r="C15" t="s">
        <v>42</v>
      </c>
      <c r="D15" t="s">
        <v>13</v>
      </c>
      <c r="E15">
        <v>49</v>
      </c>
      <c r="F15" t="s">
        <v>45</v>
      </c>
      <c r="G15" cm="1">
        <f t="array" ref="G15">_xlfn.SWITCH(LOWER(TRIM(F15)),
"enero",1,
"febrero",2,
"marzo",3,
"abril",4,
"mayo",5,
"junio",6,
"julio",7,
"agosto",8,
"septiembre",9,
"octubre",10,
"noviembre",11,
"diciembre",12)</f>
        <v>2</v>
      </c>
      <c r="H15">
        <v>2171070</v>
      </c>
      <c r="I15">
        <v>55</v>
      </c>
      <c r="J15">
        <v>392</v>
      </c>
      <c r="K15">
        <v>39474</v>
      </c>
    </row>
    <row r="16" spans="1:11" x14ac:dyDescent="0.25">
      <c r="A16" t="s">
        <v>15</v>
      </c>
      <c r="B16" t="s">
        <v>44</v>
      </c>
      <c r="C16" t="s">
        <v>42</v>
      </c>
      <c r="D16" t="s">
        <v>13</v>
      </c>
      <c r="E16">
        <v>44</v>
      </c>
      <c r="F16" t="s">
        <v>46</v>
      </c>
      <c r="G16" cm="1">
        <f t="array" ref="G16">_xlfn.SWITCH(LOWER(TRIM(F16)),
"enero",1,
"febrero",2,
"marzo",3,
"abril",4,
"mayo",5,
"junio",6,
"julio",7,
"agosto",8,
"septiembre",9,
"octubre",10,
"noviembre",11,
"diciembre",12)</f>
        <v>3</v>
      </c>
      <c r="H16">
        <v>4124672</v>
      </c>
      <c r="I16">
        <v>64</v>
      </c>
      <c r="J16">
        <v>741</v>
      </c>
      <c r="K16">
        <v>64448</v>
      </c>
    </row>
    <row r="17" spans="1:11" x14ac:dyDescent="0.25">
      <c r="A17" t="s">
        <v>10</v>
      </c>
      <c r="B17" t="s">
        <v>34</v>
      </c>
      <c r="C17" t="s">
        <v>28</v>
      </c>
      <c r="D17" t="s">
        <v>13</v>
      </c>
      <c r="E17">
        <v>49</v>
      </c>
      <c r="F17" t="s">
        <v>35</v>
      </c>
      <c r="G17" cm="1">
        <f t="array" ref="G17">_xlfn.SWITCH(LOWER(TRIM(F17)),
"enero",1,
"febrero",2,
"marzo",3,
"abril",4,
"mayo",5,
"junio",6,
"julio",7,
"agosto",8,
"septiembre",9,
"octubre",10,
"noviembre",11,
"diciembre",12)</f>
        <v>6</v>
      </c>
      <c r="H17">
        <v>6592564</v>
      </c>
      <c r="I17">
        <v>121</v>
      </c>
      <c r="J17">
        <v>841</v>
      </c>
      <c r="K17">
        <v>54484</v>
      </c>
    </row>
    <row r="18" spans="1:11" x14ac:dyDescent="0.25">
      <c r="A18" t="s">
        <v>31</v>
      </c>
      <c r="B18" t="s">
        <v>47</v>
      </c>
      <c r="C18" t="s">
        <v>42</v>
      </c>
      <c r="D18" t="s">
        <v>29</v>
      </c>
      <c r="E18">
        <v>48</v>
      </c>
      <c r="F18" t="s">
        <v>35</v>
      </c>
      <c r="G18" cm="1">
        <f t="array" ref="G18">_xlfn.SWITCH(LOWER(TRIM(F18)),
"enero",1,
"febrero",2,
"marzo",3,
"abril",4,
"mayo",5,
"junio",6,
"julio",7,
"agosto",8,
"septiembre",9,
"octubre",10,
"noviembre",11,
"diciembre",12)</f>
        <v>6</v>
      </c>
      <c r="H18">
        <v>3403953</v>
      </c>
      <c r="I18">
        <v>71</v>
      </c>
      <c r="J18">
        <v>53</v>
      </c>
      <c r="K18">
        <v>47943</v>
      </c>
    </row>
    <row r="19" spans="1:11" x14ac:dyDescent="0.25">
      <c r="A19" t="s">
        <v>18</v>
      </c>
      <c r="B19" t="s">
        <v>38</v>
      </c>
      <c r="C19" t="s">
        <v>20</v>
      </c>
      <c r="D19" t="s">
        <v>25</v>
      </c>
      <c r="E19">
        <v>52</v>
      </c>
      <c r="F19" t="s">
        <v>22</v>
      </c>
      <c r="G19" cm="1">
        <f t="array" ref="G19">_xlfn.SWITCH(LOWER(TRIM(F19)),
"enero",1,
"febrero",2,
"marzo",3,
"abril",4,
"mayo",5,
"junio",6,
"julio",7,
"agosto",8,
"septiembre",9,
"octubre",10,
"noviembre",11,
"diciembre",12)</f>
        <v>7</v>
      </c>
      <c r="H19">
        <v>6337032</v>
      </c>
      <c r="I19">
        <v>152</v>
      </c>
      <c r="J19">
        <v>509</v>
      </c>
      <c r="K19">
        <v>41691</v>
      </c>
    </row>
    <row r="20" spans="1:11" x14ac:dyDescent="0.25">
      <c r="A20" t="s">
        <v>15</v>
      </c>
      <c r="B20" t="s">
        <v>41</v>
      </c>
      <c r="C20" t="s">
        <v>42</v>
      </c>
      <c r="D20" t="s">
        <v>25</v>
      </c>
      <c r="E20">
        <v>36</v>
      </c>
      <c r="F20" t="s">
        <v>14</v>
      </c>
      <c r="G20" cm="1">
        <f t="array" ref="G20">_xlfn.SWITCH(LOWER(TRIM(F20)),
"enero",1,
"febrero",2,
"marzo",3,
"abril",4,
"mayo",5,
"junio",6,
"julio",7,
"agosto",8,
"septiembre",9,
"octubre",10,
"noviembre",11,
"diciembre",12)</f>
        <v>8</v>
      </c>
      <c r="H20">
        <v>10019712</v>
      </c>
      <c r="I20">
        <v>194</v>
      </c>
      <c r="J20">
        <v>681</v>
      </c>
      <c r="K20">
        <v>51648</v>
      </c>
    </row>
    <row r="21" spans="1:11" x14ac:dyDescent="0.25">
      <c r="A21" t="s">
        <v>18</v>
      </c>
      <c r="B21" t="s">
        <v>23</v>
      </c>
      <c r="C21" t="s">
        <v>24</v>
      </c>
      <c r="D21" t="s">
        <v>25</v>
      </c>
      <c r="E21">
        <v>46</v>
      </c>
      <c r="F21" t="s">
        <v>35</v>
      </c>
      <c r="G21" cm="1">
        <f t="array" ref="G21">_xlfn.SWITCH(LOWER(TRIM(F21)),
"enero",1,
"febrero",2,
"marzo",3,
"abril",4,
"mayo",5,
"junio",6,
"julio",7,
"agosto",8,
"septiembre",9,
"octubre",10,
"noviembre",11,
"diciembre",12)</f>
        <v>6</v>
      </c>
      <c r="H21">
        <v>8580645</v>
      </c>
      <c r="I21">
        <v>155</v>
      </c>
      <c r="J21">
        <v>613</v>
      </c>
      <c r="K21">
        <v>55359</v>
      </c>
    </row>
    <row r="22" spans="1:11" x14ac:dyDescent="0.25">
      <c r="A22" t="s">
        <v>10</v>
      </c>
      <c r="B22" t="s">
        <v>48</v>
      </c>
      <c r="C22" t="s">
        <v>20</v>
      </c>
      <c r="D22" t="s">
        <v>13</v>
      </c>
      <c r="E22">
        <v>1</v>
      </c>
      <c r="F22" t="s">
        <v>30</v>
      </c>
      <c r="G22" cm="1">
        <f t="array" ref="G22">_xlfn.SWITCH(LOWER(TRIM(F22)),
"enero",1,
"febrero",2,
"marzo",3,
"abril",4,
"mayo",5,
"junio",6,
"julio",7,
"agosto",8,
"septiembre",9,
"octubre",10,
"noviembre",11,
"diciembre",12)</f>
        <v>10</v>
      </c>
      <c r="H22">
        <v>6328227</v>
      </c>
      <c r="I22">
        <v>123</v>
      </c>
      <c r="J22">
        <v>272</v>
      </c>
      <c r="K22">
        <v>51449</v>
      </c>
    </row>
    <row r="23" spans="1:11" x14ac:dyDescent="0.25">
      <c r="A23" t="s">
        <v>31</v>
      </c>
      <c r="B23" t="s">
        <v>16</v>
      </c>
      <c r="C23" t="s">
        <v>12</v>
      </c>
      <c r="D23" t="s">
        <v>17</v>
      </c>
      <c r="E23">
        <v>42</v>
      </c>
      <c r="F23" t="s">
        <v>33</v>
      </c>
      <c r="G23" cm="1">
        <f t="array" ref="G23">_xlfn.SWITCH(LOWER(TRIM(F23)),
"enero",1,
"febrero",2,
"marzo",3,
"abril",4,
"mayo",5,
"junio",6,
"julio",7,
"agosto",8,
"septiembre",9,
"octubre",10,
"noviembre",11,
"diciembre",12)</f>
        <v>1</v>
      </c>
      <c r="H23">
        <v>6401796</v>
      </c>
      <c r="I23">
        <v>151</v>
      </c>
      <c r="J23">
        <v>451</v>
      </c>
      <c r="K23">
        <v>42396</v>
      </c>
    </row>
    <row r="24" spans="1:11" x14ac:dyDescent="0.25">
      <c r="A24" t="s">
        <v>31</v>
      </c>
      <c r="B24" t="s">
        <v>36</v>
      </c>
      <c r="C24" t="s">
        <v>20</v>
      </c>
      <c r="D24" t="s">
        <v>29</v>
      </c>
      <c r="E24">
        <v>14</v>
      </c>
      <c r="F24" t="s">
        <v>49</v>
      </c>
      <c r="G24" cm="1">
        <f t="array" ref="G24">_xlfn.SWITCH(LOWER(TRIM(F24)),
"enero",1,
"febrero",2,
"marzo",3,
"abril",4,
"mayo",5,
"junio",6,
"julio",7,
"agosto",8,
"septiembre",9,
"octubre",10,
"noviembre",11,
"diciembre",12)</f>
        <v>11</v>
      </c>
      <c r="H24">
        <v>3835132</v>
      </c>
      <c r="I24">
        <v>68</v>
      </c>
      <c r="J24">
        <v>827</v>
      </c>
      <c r="K24">
        <v>56399</v>
      </c>
    </row>
    <row r="25" spans="1:11" x14ac:dyDescent="0.25">
      <c r="A25" t="s">
        <v>31</v>
      </c>
      <c r="B25" t="s">
        <v>23</v>
      </c>
      <c r="C25" t="s">
        <v>24</v>
      </c>
      <c r="D25" t="s">
        <v>25</v>
      </c>
      <c r="E25">
        <v>4</v>
      </c>
      <c r="F25" t="s">
        <v>43</v>
      </c>
      <c r="G25" cm="1">
        <f t="array" ref="G25">_xlfn.SWITCH(LOWER(TRIM(F25)),
"enero",1,
"febrero",2,
"marzo",3,
"abril",4,
"mayo",5,
"junio",6,
"julio",7,
"agosto",8,
"septiembre",9,
"octubre",10,
"noviembre",11,
"diciembre",12)</f>
        <v>5</v>
      </c>
      <c r="H25">
        <v>8566187</v>
      </c>
      <c r="I25">
        <v>181</v>
      </c>
      <c r="J25">
        <v>343</v>
      </c>
      <c r="K25">
        <v>47327</v>
      </c>
    </row>
    <row r="26" spans="1:11" x14ac:dyDescent="0.25">
      <c r="A26" t="s">
        <v>10</v>
      </c>
      <c r="B26" t="s">
        <v>50</v>
      </c>
      <c r="C26" t="s">
        <v>20</v>
      </c>
      <c r="D26" t="s">
        <v>17</v>
      </c>
      <c r="E26">
        <v>15</v>
      </c>
      <c r="F26" t="s">
        <v>49</v>
      </c>
      <c r="G26" cm="1">
        <f t="array" ref="G26">_xlfn.SWITCH(LOWER(TRIM(F26)),
"enero",1,
"febrero",2,
"marzo",3,
"abril",4,
"mayo",5,
"junio",6,
"julio",7,
"agosto",8,
"septiembre",9,
"octubre",10,
"noviembre",11,
"diciembre",12)</f>
        <v>11</v>
      </c>
      <c r="H26">
        <v>10504300</v>
      </c>
      <c r="I26">
        <v>185</v>
      </c>
      <c r="J26">
        <v>751</v>
      </c>
      <c r="K26">
        <v>56780</v>
      </c>
    </row>
    <row r="27" spans="1:11" x14ac:dyDescent="0.25">
      <c r="A27" t="s">
        <v>10</v>
      </c>
      <c r="B27" t="s">
        <v>51</v>
      </c>
      <c r="C27" t="s">
        <v>24</v>
      </c>
      <c r="D27" t="s">
        <v>21</v>
      </c>
      <c r="E27">
        <v>9</v>
      </c>
      <c r="F27" t="s">
        <v>45</v>
      </c>
      <c r="G27" cm="1">
        <f t="array" ref="G27">_xlfn.SWITCH(LOWER(TRIM(F27)),
"enero",1,
"febrero",2,
"marzo",3,
"abril",4,
"mayo",5,
"junio",6,
"julio",7,
"agosto",8,
"septiembre",9,
"octubre",10,
"noviembre",11,
"diciembre",12)</f>
        <v>2</v>
      </c>
      <c r="H27">
        <v>3147650</v>
      </c>
      <c r="I27">
        <v>55</v>
      </c>
      <c r="J27">
        <v>61</v>
      </c>
      <c r="K27">
        <v>57230</v>
      </c>
    </row>
    <row r="28" spans="1:11" x14ac:dyDescent="0.25">
      <c r="A28" t="s">
        <v>37</v>
      </c>
      <c r="B28" t="s">
        <v>52</v>
      </c>
      <c r="C28" t="s">
        <v>24</v>
      </c>
      <c r="D28" t="s">
        <v>13</v>
      </c>
      <c r="E28">
        <v>51</v>
      </c>
      <c r="F28" t="s">
        <v>49</v>
      </c>
      <c r="G28" cm="1">
        <f t="array" ref="G28">_xlfn.SWITCH(LOWER(TRIM(F28)),
"enero",1,
"febrero",2,
"marzo",3,
"abril",4,
"mayo",5,
"junio",6,
"julio",7,
"agosto",8,
"septiembre",9,
"octubre",10,
"noviembre",11,
"diciembre",12)</f>
        <v>11</v>
      </c>
      <c r="H28">
        <v>11041228</v>
      </c>
      <c r="I28">
        <v>187</v>
      </c>
      <c r="J28">
        <v>540</v>
      </c>
      <c r="K28">
        <v>59044</v>
      </c>
    </row>
    <row r="29" spans="1:11" x14ac:dyDescent="0.25">
      <c r="A29" t="s">
        <v>31</v>
      </c>
      <c r="B29" t="s">
        <v>53</v>
      </c>
      <c r="C29" t="s">
        <v>24</v>
      </c>
      <c r="D29" t="s">
        <v>29</v>
      </c>
      <c r="E29">
        <v>9</v>
      </c>
      <c r="F29" t="s">
        <v>22</v>
      </c>
      <c r="G29" cm="1">
        <f t="array" ref="G29">_xlfn.SWITCH(LOWER(TRIM(F29)),
"enero",1,
"febrero",2,
"marzo",3,
"abril",4,
"mayo",5,
"junio",6,
"julio",7,
"agosto",8,
"septiembre",9,
"octubre",10,
"noviembre",11,
"diciembre",12)</f>
        <v>7</v>
      </c>
      <c r="H29">
        <v>2696375</v>
      </c>
      <c r="I29">
        <v>55</v>
      </c>
      <c r="J29">
        <v>2</v>
      </c>
      <c r="K29">
        <v>49025</v>
      </c>
    </row>
    <row r="30" spans="1:11" x14ac:dyDescent="0.25">
      <c r="A30" t="s">
        <v>18</v>
      </c>
      <c r="B30" t="s">
        <v>53</v>
      </c>
      <c r="C30" t="s">
        <v>24</v>
      </c>
      <c r="D30" t="s">
        <v>29</v>
      </c>
      <c r="E30">
        <v>50</v>
      </c>
      <c r="F30" t="s">
        <v>49</v>
      </c>
      <c r="G30" cm="1">
        <f t="array" ref="G30">_xlfn.SWITCH(LOWER(TRIM(F30)),
"enero",1,
"febrero",2,
"marzo",3,
"abril",4,
"mayo",5,
"junio",6,
"julio",7,
"agosto",8,
"septiembre",9,
"octubre",10,
"noviembre",11,
"diciembre",12)</f>
        <v>11</v>
      </c>
      <c r="H30">
        <v>7062341</v>
      </c>
      <c r="I30">
        <v>169</v>
      </c>
      <c r="J30">
        <v>829</v>
      </c>
      <c r="K30">
        <v>41789</v>
      </c>
    </row>
    <row r="31" spans="1:11" x14ac:dyDescent="0.25">
      <c r="A31" t="s">
        <v>15</v>
      </c>
      <c r="B31" t="s">
        <v>16</v>
      </c>
      <c r="C31" t="s">
        <v>12</v>
      </c>
      <c r="D31" t="s">
        <v>17</v>
      </c>
      <c r="E31">
        <v>25</v>
      </c>
      <c r="F31" t="s">
        <v>43</v>
      </c>
      <c r="G31" cm="1">
        <f t="array" ref="G31">_xlfn.SWITCH(LOWER(TRIM(F31)),
"enero",1,
"febrero",2,
"marzo",3,
"abril",4,
"mayo",5,
"junio",6,
"julio",7,
"agosto",8,
"septiembre",9,
"octubre",10,
"noviembre",11,
"diciembre",12)</f>
        <v>5</v>
      </c>
      <c r="H31">
        <v>11195003</v>
      </c>
      <c r="I31">
        <v>173</v>
      </c>
      <c r="J31">
        <v>672</v>
      </c>
      <c r="K31">
        <v>64711</v>
      </c>
    </row>
    <row r="32" spans="1:11" x14ac:dyDescent="0.25">
      <c r="A32" t="s">
        <v>10</v>
      </c>
      <c r="B32" t="s">
        <v>36</v>
      </c>
      <c r="C32" t="s">
        <v>20</v>
      </c>
      <c r="D32" t="s">
        <v>29</v>
      </c>
      <c r="E32">
        <v>32</v>
      </c>
      <c r="F32" t="s">
        <v>39</v>
      </c>
      <c r="G32" cm="1">
        <f t="array" ref="G32">_xlfn.SWITCH(LOWER(TRIM(F32)),
"enero",1,
"febrero",2,
"marzo",3,
"abril",4,
"mayo",5,
"junio",6,
"julio",7,
"agosto",8,
"septiembre",9,
"octubre",10,
"noviembre",11,
"diciembre",12)</f>
        <v>12</v>
      </c>
      <c r="H32">
        <v>5875200</v>
      </c>
      <c r="I32">
        <v>150</v>
      </c>
      <c r="J32">
        <v>864</v>
      </c>
      <c r="K32">
        <v>39168</v>
      </c>
    </row>
    <row r="33" spans="1:11" x14ac:dyDescent="0.25">
      <c r="A33" t="s">
        <v>10</v>
      </c>
      <c r="B33" t="s">
        <v>54</v>
      </c>
      <c r="C33" t="s">
        <v>28</v>
      </c>
      <c r="D33" t="s">
        <v>21</v>
      </c>
      <c r="E33">
        <v>32</v>
      </c>
      <c r="F33" t="s">
        <v>35</v>
      </c>
      <c r="G33" cm="1">
        <f t="array" ref="G33">_xlfn.SWITCH(LOWER(TRIM(F33)),
"enero",1,
"febrero",2,
"marzo",3,
"abril",4,
"mayo",5,
"junio",6,
"julio",7,
"agosto",8,
"septiembre",9,
"octubre",10,
"noviembre",11,
"diciembre",12)</f>
        <v>6</v>
      </c>
      <c r="H33">
        <v>9598875</v>
      </c>
      <c r="I33">
        <v>165</v>
      </c>
      <c r="J33">
        <v>291</v>
      </c>
      <c r="K33">
        <v>58175</v>
      </c>
    </row>
    <row r="34" spans="1:11" x14ac:dyDescent="0.25">
      <c r="A34" t="s">
        <v>10</v>
      </c>
      <c r="B34" t="s">
        <v>44</v>
      </c>
      <c r="C34" t="s">
        <v>42</v>
      </c>
      <c r="D34" t="s">
        <v>13</v>
      </c>
      <c r="E34">
        <v>21</v>
      </c>
      <c r="F34" t="s">
        <v>43</v>
      </c>
      <c r="G34" cm="1">
        <f t="array" ref="G34">_xlfn.SWITCH(LOWER(TRIM(F34)),
"enero",1,
"febrero",2,
"marzo",3,
"abril",4,
"mayo",5,
"junio",6,
"julio",7,
"agosto",8,
"septiembre",9,
"octubre",10,
"noviembre",11,
"diciembre",12)</f>
        <v>5</v>
      </c>
      <c r="H34">
        <v>4876368</v>
      </c>
      <c r="I34">
        <v>84</v>
      </c>
      <c r="J34">
        <v>429</v>
      </c>
      <c r="K34">
        <v>58052</v>
      </c>
    </row>
    <row r="35" spans="1:11" x14ac:dyDescent="0.25">
      <c r="A35" t="s">
        <v>18</v>
      </c>
      <c r="B35" t="s">
        <v>51</v>
      </c>
      <c r="C35" t="s">
        <v>24</v>
      </c>
      <c r="D35" t="s">
        <v>21</v>
      </c>
      <c r="E35">
        <v>48</v>
      </c>
      <c r="F35" t="s">
        <v>26</v>
      </c>
      <c r="G35" cm="1">
        <f t="array" ref="G35">_xlfn.SWITCH(LOWER(TRIM(F35)),
"enero",1,
"febrero",2,
"marzo",3,
"abril",4,
"mayo",5,
"junio",6,
"julio",7,
"agosto",8,
"septiembre",9,
"octubre",10,
"noviembre",11,
"diciembre",12)</f>
        <v>9</v>
      </c>
      <c r="H35">
        <v>3407580</v>
      </c>
      <c r="I35">
        <v>55</v>
      </c>
      <c r="J35">
        <v>26</v>
      </c>
      <c r="K35">
        <v>61956</v>
      </c>
    </row>
    <row r="36" spans="1:11" x14ac:dyDescent="0.25">
      <c r="A36" t="s">
        <v>10</v>
      </c>
      <c r="B36" t="s">
        <v>55</v>
      </c>
      <c r="C36" t="s">
        <v>42</v>
      </c>
      <c r="D36" t="s">
        <v>21</v>
      </c>
      <c r="E36">
        <v>6</v>
      </c>
      <c r="F36" t="s">
        <v>45</v>
      </c>
      <c r="G36" cm="1">
        <f t="array" ref="G36">_xlfn.SWITCH(LOWER(TRIM(F36)),
"enero",1,
"febrero",2,
"marzo",3,
"abril",4,
"mayo",5,
"junio",6,
"julio",7,
"agosto",8,
"septiembre",9,
"octubre",10,
"noviembre",11,
"diciembre",12)</f>
        <v>2</v>
      </c>
      <c r="H36">
        <v>4500888</v>
      </c>
      <c r="I36">
        <v>84</v>
      </c>
      <c r="J36">
        <v>289</v>
      </c>
      <c r="K36">
        <v>53582</v>
      </c>
    </row>
    <row r="37" spans="1:11" x14ac:dyDescent="0.25">
      <c r="A37" t="s">
        <v>15</v>
      </c>
      <c r="B37" t="s">
        <v>23</v>
      </c>
      <c r="C37" t="s">
        <v>24</v>
      </c>
      <c r="D37" t="s">
        <v>25</v>
      </c>
      <c r="E37">
        <v>23</v>
      </c>
      <c r="F37" t="s">
        <v>26</v>
      </c>
      <c r="G37" cm="1">
        <f t="array" ref="G37">_xlfn.SWITCH(LOWER(TRIM(F37)),
"enero",1,
"febrero",2,
"marzo",3,
"abril",4,
"mayo",5,
"junio",6,
"julio",7,
"agosto",8,
"septiembre",9,
"octubre",10,
"noviembre",11,
"diciembre",12)</f>
        <v>9</v>
      </c>
      <c r="H37">
        <v>5027265</v>
      </c>
      <c r="I37">
        <v>81</v>
      </c>
      <c r="J37">
        <v>739</v>
      </c>
      <c r="K37">
        <v>62065</v>
      </c>
    </row>
    <row r="38" spans="1:11" x14ac:dyDescent="0.25">
      <c r="A38" t="s">
        <v>15</v>
      </c>
      <c r="B38" t="s">
        <v>51</v>
      </c>
      <c r="C38" t="s">
        <v>24</v>
      </c>
      <c r="D38" t="s">
        <v>21</v>
      </c>
      <c r="E38">
        <v>27</v>
      </c>
      <c r="F38" t="s">
        <v>14</v>
      </c>
      <c r="G38" cm="1">
        <f t="array" ref="G38">_xlfn.SWITCH(LOWER(TRIM(F38)),
"enero",1,
"febrero",2,
"marzo",3,
"abril",4,
"mayo",5,
"junio",6,
"julio",7,
"agosto",8,
"septiembre",9,
"octubre",10,
"noviembre",11,
"diciembre",12)</f>
        <v>8</v>
      </c>
      <c r="H38">
        <v>3431019</v>
      </c>
      <c r="I38">
        <v>87</v>
      </c>
      <c r="J38">
        <v>14</v>
      </c>
      <c r="K38">
        <v>39437</v>
      </c>
    </row>
    <row r="39" spans="1:11" x14ac:dyDescent="0.25">
      <c r="A39" t="s">
        <v>37</v>
      </c>
      <c r="B39" t="s">
        <v>41</v>
      </c>
      <c r="C39" t="s">
        <v>42</v>
      </c>
      <c r="D39" t="s">
        <v>25</v>
      </c>
      <c r="E39">
        <v>40</v>
      </c>
      <c r="F39" t="s">
        <v>43</v>
      </c>
      <c r="G39" cm="1">
        <f t="array" ref="G39">_xlfn.SWITCH(LOWER(TRIM(F39)),
"enero",1,
"febrero",2,
"marzo",3,
"abril",4,
"mayo",5,
"junio",6,
"julio",7,
"agosto",8,
"septiembre",9,
"octubre",10,
"noviembre",11,
"diciembre",12)</f>
        <v>5</v>
      </c>
      <c r="H39">
        <v>7099065</v>
      </c>
      <c r="I39">
        <v>115</v>
      </c>
      <c r="J39">
        <v>284</v>
      </c>
      <c r="K39">
        <v>61731</v>
      </c>
    </row>
    <row r="40" spans="1:11" x14ac:dyDescent="0.25">
      <c r="A40" t="s">
        <v>37</v>
      </c>
      <c r="B40" t="s">
        <v>56</v>
      </c>
      <c r="C40" t="s">
        <v>24</v>
      </c>
      <c r="D40" t="s">
        <v>17</v>
      </c>
      <c r="E40">
        <v>35</v>
      </c>
      <c r="F40" t="s">
        <v>35</v>
      </c>
      <c r="G40" cm="1">
        <f t="array" ref="G40">_xlfn.SWITCH(LOWER(TRIM(F40)),
"enero",1,
"febrero",2,
"marzo",3,
"abril",4,
"mayo",5,
"junio",6,
"julio",7,
"agosto",8,
"septiembre",9,
"octubre",10,
"noviembre",11,
"diciembre",12)</f>
        <v>6</v>
      </c>
      <c r="H40">
        <v>9720486</v>
      </c>
      <c r="I40">
        <v>162</v>
      </c>
      <c r="J40">
        <v>818</v>
      </c>
      <c r="K40">
        <v>60003</v>
      </c>
    </row>
    <row r="41" spans="1:11" x14ac:dyDescent="0.25">
      <c r="A41" t="s">
        <v>31</v>
      </c>
      <c r="B41" t="s">
        <v>50</v>
      </c>
      <c r="C41" t="s">
        <v>20</v>
      </c>
      <c r="D41" t="s">
        <v>17</v>
      </c>
      <c r="E41">
        <v>3</v>
      </c>
      <c r="F41" t="s">
        <v>46</v>
      </c>
      <c r="G41" cm="1">
        <f t="array" ref="G41">_xlfn.SWITCH(LOWER(TRIM(F41)),
"enero",1,
"febrero",2,
"marzo",3,
"abril",4,
"mayo",5,
"junio",6,
"julio",7,
"agosto",8,
"septiembre",9,
"octubre",10,
"noviembre",11,
"diciembre",12)</f>
        <v>3</v>
      </c>
      <c r="H41">
        <v>3595275</v>
      </c>
      <c r="I41">
        <v>57</v>
      </c>
      <c r="J41">
        <v>50</v>
      </c>
      <c r="K41">
        <v>63075</v>
      </c>
    </row>
    <row r="42" spans="1:11" x14ac:dyDescent="0.25">
      <c r="A42" t="s">
        <v>10</v>
      </c>
      <c r="B42" t="s">
        <v>51</v>
      </c>
      <c r="C42" t="s">
        <v>24</v>
      </c>
      <c r="D42" t="s">
        <v>21</v>
      </c>
      <c r="E42">
        <v>1</v>
      </c>
      <c r="F42" t="s">
        <v>43</v>
      </c>
      <c r="G42" cm="1">
        <f t="array" ref="G42">_xlfn.SWITCH(LOWER(TRIM(F42)),
"enero",1,
"febrero",2,
"marzo",3,
"abril",4,
"mayo",5,
"junio",6,
"julio",7,
"agosto",8,
"septiembre",9,
"octubre",10,
"noviembre",11,
"diciembre",12)</f>
        <v>5</v>
      </c>
      <c r="H42">
        <v>10313988</v>
      </c>
      <c r="I42">
        <v>163</v>
      </c>
      <c r="J42">
        <v>194</v>
      </c>
      <c r="K42">
        <v>63276</v>
      </c>
    </row>
    <row r="43" spans="1:11" x14ac:dyDescent="0.25">
      <c r="A43" t="s">
        <v>18</v>
      </c>
      <c r="B43" t="s">
        <v>57</v>
      </c>
      <c r="C43" t="s">
        <v>42</v>
      </c>
      <c r="D43" t="s">
        <v>17</v>
      </c>
      <c r="E43">
        <v>16</v>
      </c>
      <c r="F43" t="s">
        <v>43</v>
      </c>
      <c r="G43" cm="1">
        <f t="array" ref="G43">_xlfn.SWITCH(LOWER(TRIM(F43)),
"enero",1,
"febrero",2,
"marzo",3,
"abril",4,
"mayo",5,
"junio",6,
"julio",7,
"agosto",8,
"septiembre",9,
"octubre",10,
"noviembre",11,
"diciembre",12)</f>
        <v>5</v>
      </c>
      <c r="H43">
        <v>4969090</v>
      </c>
      <c r="I43">
        <v>98</v>
      </c>
      <c r="J43">
        <v>388</v>
      </c>
      <c r="K43">
        <v>50705</v>
      </c>
    </row>
    <row r="44" spans="1:11" x14ac:dyDescent="0.25">
      <c r="A44" t="s">
        <v>18</v>
      </c>
      <c r="B44" t="s">
        <v>44</v>
      </c>
      <c r="C44" t="s">
        <v>42</v>
      </c>
      <c r="D44" t="s">
        <v>13</v>
      </c>
      <c r="E44">
        <v>14</v>
      </c>
      <c r="F44" t="s">
        <v>26</v>
      </c>
      <c r="G44" cm="1">
        <f t="array" ref="G44">_xlfn.SWITCH(LOWER(TRIM(F44)),
"enero",1,
"febrero",2,
"marzo",3,
"abril",4,
"mayo",5,
"junio",6,
"julio",7,
"agosto",8,
"septiembre",9,
"octubre",10,
"noviembre",11,
"diciembre",12)</f>
        <v>9</v>
      </c>
      <c r="H44">
        <v>6033402</v>
      </c>
      <c r="I44">
        <v>153</v>
      </c>
      <c r="J44">
        <v>583</v>
      </c>
      <c r="K44">
        <v>39434</v>
      </c>
    </row>
    <row r="45" spans="1:11" x14ac:dyDescent="0.25">
      <c r="A45" t="s">
        <v>37</v>
      </c>
      <c r="B45" t="s">
        <v>58</v>
      </c>
      <c r="C45" t="s">
        <v>12</v>
      </c>
      <c r="D45" t="s">
        <v>21</v>
      </c>
      <c r="E45">
        <v>7</v>
      </c>
      <c r="F45" t="s">
        <v>35</v>
      </c>
      <c r="G45" cm="1">
        <f t="array" ref="G45">_xlfn.SWITCH(LOWER(TRIM(F45)),
"enero",1,
"febrero",2,
"marzo",3,
"abril",4,
"mayo",5,
"junio",6,
"julio",7,
"agosto",8,
"septiembre",9,
"octubre",10,
"noviembre",11,
"diciembre",12)</f>
        <v>6</v>
      </c>
      <c r="H45">
        <v>2952660</v>
      </c>
      <c r="I45">
        <v>60</v>
      </c>
      <c r="J45">
        <v>846</v>
      </c>
      <c r="K45">
        <v>49211</v>
      </c>
    </row>
    <row r="46" spans="1:11" x14ac:dyDescent="0.25">
      <c r="A46" t="s">
        <v>37</v>
      </c>
      <c r="B46" t="s">
        <v>58</v>
      </c>
      <c r="C46" t="s">
        <v>12</v>
      </c>
      <c r="D46" t="s">
        <v>21</v>
      </c>
      <c r="E46">
        <v>21</v>
      </c>
      <c r="F46" t="s">
        <v>22</v>
      </c>
      <c r="G46" cm="1">
        <f t="array" ref="G46">_xlfn.SWITCH(LOWER(TRIM(F46)),
"enero",1,
"febrero",2,
"marzo",3,
"abril",4,
"mayo",5,
"junio",6,
"julio",7,
"agosto",8,
"septiembre",9,
"octubre",10,
"noviembre",11,
"diciembre",12)</f>
        <v>7</v>
      </c>
      <c r="H46">
        <v>6469584</v>
      </c>
      <c r="I46">
        <v>132</v>
      </c>
      <c r="J46">
        <v>706</v>
      </c>
      <c r="K46">
        <v>49012</v>
      </c>
    </row>
    <row r="47" spans="1:11" x14ac:dyDescent="0.25">
      <c r="A47" t="s">
        <v>18</v>
      </c>
      <c r="B47" t="s">
        <v>58</v>
      </c>
      <c r="C47" t="s">
        <v>12</v>
      </c>
      <c r="D47" t="s">
        <v>21</v>
      </c>
      <c r="E47">
        <v>19</v>
      </c>
      <c r="F47" t="s">
        <v>26</v>
      </c>
      <c r="G47" cm="1">
        <f t="array" ref="G47">_xlfn.SWITCH(LOWER(TRIM(F47)),
"enero",1,
"febrero",2,
"marzo",3,
"abril",4,
"mayo",5,
"junio",6,
"julio",7,
"agosto",8,
"septiembre",9,
"octubre",10,
"noviembre",11,
"diciembre",12)</f>
        <v>9</v>
      </c>
      <c r="H47">
        <v>11377760</v>
      </c>
      <c r="I47">
        <v>178</v>
      </c>
      <c r="J47">
        <v>739</v>
      </c>
      <c r="K47">
        <v>63920</v>
      </c>
    </row>
    <row r="48" spans="1:11" x14ac:dyDescent="0.25">
      <c r="A48" t="s">
        <v>31</v>
      </c>
      <c r="B48" t="s">
        <v>52</v>
      </c>
      <c r="C48" t="s">
        <v>24</v>
      </c>
      <c r="D48" t="s">
        <v>13</v>
      </c>
      <c r="E48">
        <v>52</v>
      </c>
      <c r="F48" t="s">
        <v>14</v>
      </c>
      <c r="G48" cm="1">
        <f t="array" ref="G48">_xlfn.SWITCH(LOWER(TRIM(F48)),
"enero",1,
"febrero",2,
"marzo",3,
"abril",4,
"mayo",5,
"junio",6,
"julio",7,
"agosto",8,
"septiembre",9,
"octubre",10,
"noviembre",11,
"diciembre",12)</f>
        <v>8</v>
      </c>
      <c r="H48">
        <v>6182220</v>
      </c>
      <c r="I48">
        <v>165</v>
      </c>
      <c r="J48">
        <v>84</v>
      </c>
      <c r="K48">
        <v>37468</v>
      </c>
    </row>
    <row r="49" spans="1:11" x14ac:dyDescent="0.25">
      <c r="A49" t="s">
        <v>31</v>
      </c>
      <c r="B49" t="s">
        <v>54</v>
      </c>
      <c r="C49" t="s">
        <v>28</v>
      </c>
      <c r="D49" t="s">
        <v>21</v>
      </c>
      <c r="E49">
        <v>16</v>
      </c>
      <c r="F49" t="s">
        <v>45</v>
      </c>
      <c r="G49" cm="1">
        <f t="array" ref="G49">_xlfn.SWITCH(LOWER(TRIM(F49)),
"enero",1,
"febrero",2,
"marzo",3,
"abril",4,
"mayo",5,
"junio",6,
"julio",7,
"agosto",8,
"septiembre",9,
"octubre",10,
"noviembre",11,
"diciembre",12)</f>
        <v>2</v>
      </c>
      <c r="H49">
        <v>8831313</v>
      </c>
      <c r="I49">
        <v>153</v>
      </c>
      <c r="J49">
        <v>776</v>
      </c>
      <c r="K49">
        <v>57721</v>
      </c>
    </row>
    <row r="50" spans="1:11" x14ac:dyDescent="0.25">
      <c r="A50" t="s">
        <v>37</v>
      </c>
      <c r="B50" t="s">
        <v>40</v>
      </c>
      <c r="C50" t="s">
        <v>12</v>
      </c>
      <c r="D50" t="s">
        <v>29</v>
      </c>
      <c r="E50">
        <v>16</v>
      </c>
      <c r="F50" t="s">
        <v>35</v>
      </c>
      <c r="G50" cm="1">
        <f t="array" ref="G50">_xlfn.SWITCH(LOWER(TRIM(F50)),
"enero",1,
"febrero",2,
"marzo",3,
"abril",4,
"mayo",5,
"junio",6,
"julio",7,
"agosto",8,
"septiembre",9,
"octubre",10,
"noviembre",11,
"diciembre",12)</f>
        <v>6</v>
      </c>
      <c r="H50">
        <v>2422680</v>
      </c>
      <c r="I50">
        <v>52</v>
      </c>
      <c r="J50">
        <v>839</v>
      </c>
      <c r="K50">
        <v>46590</v>
      </c>
    </row>
    <row r="51" spans="1:11" x14ac:dyDescent="0.25">
      <c r="A51" t="s">
        <v>31</v>
      </c>
      <c r="B51" t="s">
        <v>59</v>
      </c>
      <c r="C51" t="s">
        <v>12</v>
      </c>
      <c r="D51" t="s">
        <v>25</v>
      </c>
      <c r="E51">
        <v>38</v>
      </c>
      <c r="F51" t="s">
        <v>14</v>
      </c>
      <c r="G51" cm="1">
        <f t="array" ref="G51">_xlfn.SWITCH(LOWER(TRIM(F51)),
"enero",1,
"febrero",2,
"marzo",3,
"abril",4,
"mayo",5,
"junio",6,
"julio",7,
"agosto",8,
"septiembre",9,
"octubre",10,
"noviembre",11,
"diciembre",12)</f>
        <v>8</v>
      </c>
      <c r="H51">
        <v>5966554</v>
      </c>
      <c r="I51">
        <v>158</v>
      </c>
      <c r="J51">
        <v>43</v>
      </c>
      <c r="K51">
        <v>37763</v>
      </c>
    </row>
    <row r="52" spans="1:11" x14ac:dyDescent="0.25">
      <c r="A52" t="s">
        <v>18</v>
      </c>
      <c r="B52" t="s">
        <v>16</v>
      </c>
      <c r="C52" t="s">
        <v>12</v>
      </c>
      <c r="D52" t="s">
        <v>17</v>
      </c>
      <c r="E52">
        <v>38</v>
      </c>
      <c r="F52" t="s">
        <v>39</v>
      </c>
      <c r="G52" cm="1">
        <f t="array" ref="G52">_xlfn.SWITCH(LOWER(TRIM(F52)),
"enero",1,
"febrero",2,
"marzo",3,
"abril",4,
"mayo",5,
"junio",6,
"julio",7,
"agosto",8,
"septiembre",9,
"octubre",10,
"noviembre",11,
"diciembre",12)</f>
        <v>12</v>
      </c>
      <c r="H52">
        <v>7348415</v>
      </c>
      <c r="I52">
        <v>151</v>
      </c>
      <c r="J52">
        <v>372</v>
      </c>
      <c r="K52">
        <v>48665</v>
      </c>
    </row>
    <row r="53" spans="1:11" x14ac:dyDescent="0.25">
      <c r="A53" t="s">
        <v>31</v>
      </c>
      <c r="B53" t="s">
        <v>36</v>
      </c>
      <c r="C53" t="s">
        <v>20</v>
      </c>
      <c r="D53" t="s">
        <v>29</v>
      </c>
      <c r="E53">
        <v>34</v>
      </c>
      <c r="F53" t="s">
        <v>35</v>
      </c>
      <c r="G53" cm="1">
        <f t="array" ref="G53">_xlfn.SWITCH(LOWER(TRIM(F53)),
"enero",1,
"febrero",2,
"marzo",3,
"abril",4,
"mayo",5,
"junio",6,
"julio",7,
"agosto",8,
"septiembre",9,
"octubre",10,
"noviembre",11,
"diciembre",12)</f>
        <v>6</v>
      </c>
      <c r="H53">
        <v>7462320</v>
      </c>
      <c r="I53">
        <v>177</v>
      </c>
      <c r="J53">
        <v>504</v>
      </c>
      <c r="K53">
        <v>42160</v>
      </c>
    </row>
    <row r="54" spans="1:11" x14ac:dyDescent="0.25">
      <c r="A54" t="s">
        <v>15</v>
      </c>
      <c r="B54" t="s">
        <v>50</v>
      </c>
      <c r="C54" t="s">
        <v>20</v>
      </c>
      <c r="D54" t="s">
        <v>17</v>
      </c>
      <c r="E54">
        <v>32</v>
      </c>
      <c r="F54" t="s">
        <v>35</v>
      </c>
      <c r="G54" cm="1">
        <f t="array" ref="G54">_xlfn.SWITCH(LOWER(TRIM(F54)),
"enero",1,
"febrero",2,
"marzo",3,
"abril",4,
"mayo",5,
"junio",6,
"julio",7,
"agosto",8,
"septiembre",9,
"octubre",10,
"noviembre",11,
"diciembre",12)</f>
        <v>6</v>
      </c>
      <c r="H54">
        <v>2479694</v>
      </c>
      <c r="I54">
        <v>49</v>
      </c>
      <c r="J54">
        <v>493</v>
      </c>
      <c r="K54">
        <v>50606</v>
      </c>
    </row>
    <row r="55" spans="1:11" x14ac:dyDescent="0.25">
      <c r="A55" t="s">
        <v>37</v>
      </c>
      <c r="B55" t="s">
        <v>57</v>
      </c>
      <c r="C55" t="s">
        <v>42</v>
      </c>
      <c r="D55" t="s">
        <v>17</v>
      </c>
      <c r="E55">
        <v>36</v>
      </c>
      <c r="F55" t="s">
        <v>30</v>
      </c>
      <c r="G55" cm="1">
        <f t="array" ref="G55">_xlfn.SWITCH(LOWER(TRIM(F55)),
"enero",1,
"febrero",2,
"marzo",3,
"abril",4,
"mayo",5,
"junio",6,
"julio",7,
"agosto",8,
"septiembre",9,
"octubre",10,
"noviembre",11,
"diciembre",12)</f>
        <v>10</v>
      </c>
      <c r="H55">
        <v>10832577</v>
      </c>
      <c r="I55">
        <v>177</v>
      </c>
      <c r="J55">
        <v>787</v>
      </c>
      <c r="K55">
        <v>61201</v>
      </c>
    </row>
    <row r="56" spans="1:11" x14ac:dyDescent="0.25">
      <c r="A56" t="s">
        <v>15</v>
      </c>
      <c r="B56" t="s">
        <v>47</v>
      </c>
      <c r="C56" t="s">
        <v>42</v>
      </c>
      <c r="D56" t="s">
        <v>29</v>
      </c>
      <c r="E56">
        <v>43</v>
      </c>
      <c r="F56" t="s">
        <v>46</v>
      </c>
      <c r="G56" cm="1">
        <f t="array" ref="G56">_xlfn.SWITCH(LOWER(TRIM(F56)),
"enero",1,
"febrero",2,
"marzo",3,
"abril",4,
"mayo",5,
"junio",6,
"julio",7,
"agosto",8,
"septiembre",9,
"octubre",10,
"noviembre",11,
"diciembre",12)</f>
        <v>3</v>
      </c>
      <c r="H56">
        <v>7825978</v>
      </c>
      <c r="I56">
        <v>139</v>
      </c>
      <c r="J56">
        <v>751</v>
      </c>
      <c r="K56">
        <v>56302</v>
      </c>
    </row>
    <row r="57" spans="1:11" x14ac:dyDescent="0.25">
      <c r="A57" t="s">
        <v>31</v>
      </c>
      <c r="B57" t="s">
        <v>32</v>
      </c>
      <c r="C57" t="s">
        <v>28</v>
      </c>
      <c r="D57" t="s">
        <v>17</v>
      </c>
      <c r="E57">
        <v>10</v>
      </c>
      <c r="F57" t="s">
        <v>39</v>
      </c>
      <c r="G57" cm="1">
        <f t="array" ref="G57">_xlfn.SWITCH(LOWER(TRIM(F57)),
"enero",1,
"febrero",2,
"marzo",3,
"abril",4,
"mayo",5,
"junio",6,
"julio",7,
"agosto",8,
"septiembre",9,
"octubre",10,
"noviembre",11,
"diciembre",12)</f>
        <v>12</v>
      </c>
      <c r="H57">
        <v>4875337</v>
      </c>
      <c r="I57">
        <v>83</v>
      </c>
      <c r="J57">
        <v>150</v>
      </c>
      <c r="K57">
        <v>58739</v>
      </c>
    </row>
    <row r="58" spans="1:11" x14ac:dyDescent="0.25">
      <c r="A58" t="s">
        <v>31</v>
      </c>
      <c r="B58" t="s">
        <v>50</v>
      </c>
      <c r="C58" t="s">
        <v>20</v>
      </c>
      <c r="D58" t="s">
        <v>17</v>
      </c>
      <c r="E58">
        <v>45</v>
      </c>
      <c r="F58" t="s">
        <v>60</v>
      </c>
      <c r="G58" cm="1">
        <f t="array" ref="G58">_xlfn.SWITCH(LOWER(TRIM(F58)),
"enero",1,
"febrero",2,
"marzo",3,
"abril",4,
"mayo",5,
"junio",6,
"julio",7,
"agosto",8,
"septiembre",9,
"octubre",10,
"noviembre",11,
"diciembre",12)</f>
        <v>4</v>
      </c>
      <c r="H58">
        <v>9889699</v>
      </c>
      <c r="I58">
        <v>163</v>
      </c>
      <c r="J58">
        <v>755</v>
      </c>
      <c r="K58">
        <v>60673</v>
      </c>
    </row>
    <row r="59" spans="1:11" x14ac:dyDescent="0.25">
      <c r="A59" t="s">
        <v>18</v>
      </c>
      <c r="B59" t="s">
        <v>32</v>
      </c>
      <c r="C59" t="s">
        <v>28</v>
      </c>
      <c r="D59" t="s">
        <v>17</v>
      </c>
      <c r="E59">
        <v>6</v>
      </c>
      <c r="F59" t="s">
        <v>60</v>
      </c>
      <c r="G59" cm="1">
        <f t="array" ref="G59">_xlfn.SWITCH(LOWER(TRIM(F59)),
"enero",1,
"febrero",2,
"marzo",3,
"abril",4,
"mayo",5,
"junio",6,
"julio",7,
"agosto",8,
"septiembre",9,
"octubre",10,
"noviembre",11,
"diciembre",12)</f>
        <v>4</v>
      </c>
      <c r="H59">
        <v>3914370</v>
      </c>
      <c r="I59">
        <v>69</v>
      </c>
      <c r="J59">
        <v>580</v>
      </c>
      <c r="K59">
        <v>56730</v>
      </c>
    </row>
    <row r="60" spans="1:11" x14ac:dyDescent="0.25">
      <c r="A60" t="s">
        <v>10</v>
      </c>
      <c r="B60" t="s">
        <v>56</v>
      </c>
      <c r="C60" t="s">
        <v>24</v>
      </c>
      <c r="D60" t="s">
        <v>17</v>
      </c>
      <c r="E60">
        <v>43</v>
      </c>
      <c r="F60" t="s">
        <v>30</v>
      </c>
      <c r="G60" cm="1">
        <f t="array" ref="G60">_xlfn.SWITCH(LOWER(TRIM(F60)),
"enero",1,
"febrero",2,
"marzo",3,
"abril",4,
"mayo",5,
"junio",6,
"julio",7,
"agosto",8,
"septiembre",9,
"octubre",10,
"noviembre",11,
"diciembre",12)</f>
        <v>10</v>
      </c>
      <c r="H60">
        <v>8555870</v>
      </c>
      <c r="I60">
        <v>145</v>
      </c>
      <c r="J60">
        <v>110</v>
      </c>
      <c r="K60">
        <v>59006</v>
      </c>
    </row>
    <row r="61" spans="1:11" x14ac:dyDescent="0.25">
      <c r="A61" t="s">
        <v>37</v>
      </c>
      <c r="B61" t="s">
        <v>52</v>
      </c>
      <c r="C61" t="s">
        <v>24</v>
      </c>
      <c r="D61" t="s">
        <v>13</v>
      </c>
      <c r="E61">
        <v>14</v>
      </c>
      <c r="F61" t="s">
        <v>33</v>
      </c>
      <c r="G61" cm="1">
        <f t="array" ref="G61">_xlfn.SWITCH(LOWER(TRIM(F61)),
"enero",1,
"febrero",2,
"marzo",3,
"abril",4,
"mayo",5,
"junio",6,
"julio",7,
"agosto",8,
"septiembre",9,
"octubre",10,
"noviembre",11,
"diciembre",12)</f>
        <v>1</v>
      </c>
      <c r="H61">
        <v>4401176</v>
      </c>
      <c r="I61">
        <v>104</v>
      </c>
      <c r="J61">
        <v>534</v>
      </c>
      <c r="K61">
        <v>42319</v>
      </c>
    </row>
    <row r="62" spans="1:11" x14ac:dyDescent="0.25">
      <c r="A62" t="s">
        <v>37</v>
      </c>
      <c r="B62" t="s">
        <v>16</v>
      </c>
      <c r="C62" t="s">
        <v>12</v>
      </c>
      <c r="D62" t="s">
        <v>17</v>
      </c>
      <c r="E62">
        <v>1</v>
      </c>
      <c r="F62" t="s">
        <v>43</v>
      </c>
      <c r="G62" cm="1">
        <f t="array" ref="G62">_xlfn.SWITCH(LOWER(TRIM(F62)),
"enero",1,
"febrero",2,
"marzo",3,
"abril",4,
"mayo",5,
"junio",6,
"julio",7,
"agosto",8,
"septiembre",9,
"octubre",10,
"noviembre",11,
"diciembre",12)</f>
        <v>5</v>
      </c>
      <c r="H62">
        <v>11891940</v>
      </c>
      <c r="I62">
        <v>188</v>
      </c>
      <c r="J62">
        <v>723</v>
      </c>
      <c r="K62">
        <v>63255</v>
      </c>
    </row>
    <row r="63" spans="1:11" x14ac:dyDescent="0.25">
      <c r="A63" t="s">
        <v>37</v>
      </c>
      <c r="B63" t="s">
        <v>48</v>
      </c>
      <c r="C63" t="s">
        <v>20</v>
      </c>
      <c r="D63" t="s">
        <v>13</v>
      </c>
      <c r="E63">
        <v>9</v>
      </c>
      <c r="F63" t="s">
        <v>22</v>
      </c>
      <c r="G63" cm="1">
        <f t="array" ref="G63">_xlfn.SWITCH(LOWER(TRIM(F63)),
"enero",1,
"febrero",2,
"marzo",3,
"abril",4,
"mayo",5,
"junio",6,
"julio",7,
"agosto",8,
"septiembre",9,
"octubre",10,
"noviembre",11,
"diciembre",12)</f>
        <v>7</v>
      </c>
      <c r="H63">
        <v>10718736</v>
      </c>
      <c r="I63">
        <v>168</v>
      </c>
      <c r="J63">
        <v>670</v>
      </c>
      <c r="K63">
        <v>63802</v>
      </c>
    </row>
    <row r="64" spans="1:11" x14ac:dyDescent="0.25">
      <c r="A64" t="s">
        <v>10</v>
      </c>
      <c r="B64" t="s">
        <v>61</v>
      </c>
      <c r="C64" t="s">
        <v>28</v>
      </c>
      <c r="D64" t="s">
        <v>25</v>
      </c>
      <c r="E64">
        <v>26</v>
      </c>
      <c r="F64" t="s">
        <v>45</v>
      </c>
      <c r="G64" cm="1">
        <f t="array" ref="G64">_xlfn.SWITCH(LOWER(TRIM(F64)),
"enero",1,
"febrero",2,
"marzo",3,
"abril",4,
"mayo",5,
"junio",6,
"julio",7,
"agosto",8,
"septiembre",9,
"octubre",10,
"noviembre",11,
"diciembre",12)</f>
        <v>2</v>
      </c>
      <c r="H64">
        <v>2552550</v>
      </c>
      <c r="I64">
        <v>50</v>
      </c>
      <c r="J64">
        <v>424</v>
      </c>
      <c r="K64">
        <v>51051</v>
      </c>
    </row>
    <row r="65" spans="1:11" x14ac:dyDescent="0.25">
      <c r="A65" t="s">
        <v>31</v>
      </c>
      <c r="B65" t="s">
        <v>61</v>
      </c>
      <c r="C65" t="s">
        <v>28</v>
      </c>
      <c r="D65" t="s">
        <v>25</v>
      </c>
      <c r="E65">
        <v>46</v>
      </c>
      <c r="F65" t="s">
        <v>35</v>
      </c>
      <c r="G65" cm="1">
        <f t="array" ref="G65">_xlfn.SWITCH(LOWER(TRIM(F65)),
"enero",1,
"febrero",2,
"marzo",3,
"abril",4,
"mayo",5,
"junio",6,
"julio",7,
"agosto",8,
"septiembre",9,
"octubre",10,
"noviembre",11,
"diciembre",12)</f>
        <v>6</v>
      </c>
      <c r="H65">
        <v>8763635</v>
      </c>
      <c r="I65">
        <v>185</v>
      </c>
      <c r="J65">
        <v>133</v>
      </c>
      <c r="K65">
        <v>47371</v>
      </c>
    </row>
    <row r="66" spans="1:11" x14ac:dyDescent="0.25">
      <c r="A66" t="s">
        <v>18</v>
      </c>
      <c r="B66" t="s">
        <v>61</v>
      </c>
      <c r="C66" t="s">
        <v>28</v>
      </c>
      <c r="D66" t="s">
        <v>25</v>
      </c>
      <c r="E66">
        <v>9</v>
      </c>
      <c r="F66" t="s">
        <v>60</v>
      </c>
      <c r="G66" cm="1">
        <f t="array" ref="G66">_xlfn.SWITCH(LOWER(TRIM(F66)),
"enero",1,
"febrero",2,
"marzo",3,
"abril",4,
"mayo",5,
"junio",6,
"julio",7,
"agosto",8,
"septiembre",9,
"octubre",10,
"noviembre",11,
"diciembre",12)</f>
        <v>4</v>
      </c>
      <c r="H66">
        <v>7876435</v>
      </c>
      <c r="I66">
        <v>139</v>
      </c>
      <c r="J66">
        <v>283</v>
      </c>
      <c r="K66">
        <v>56665</v>
      </c>
    </row>
    <row r="67" spans="1:11" x14ac:dyDescent="0.25">
      <c r="A67" t="s">
        <v>37</v>
      </c>
      <c r="B67" t="s">
        <v>47</v>
      </c>
      <c r="C67" t="s">
        <v>42</v>
      </c>
      <c r="D67" t="s">
        <v>29</v>
      </c>
      <c r="E67">
        <v>47</v>
      </c>
      <c r="F67" t="s">
        <v>22</v>
      </c>
      <c r="G67" cm="1">
        <f t="array" ref="G67">_xlfn.SWITCH(LOWER(TRIM(F67)),
"enero",1,
"febrero",2,
"marzo",3,
"abril",4,
"mayo",5,
"junio",6,
"julio",7,
"agosto",8,
"septiembre",9,
"octubre",10,
"noviembre",11,
"diciembre",12)</f>
        <v>7</v>
      </c>
      <c r="H67">
        <v>5319996</v>
      </c>
      <c r="I67">
        <v>82</v>
      </c>
      <c r="J67">
        <v>307</v>
      </c>
      <c r="K67">
        <v>64878</v>
      </c>
    </row>
    <row r="68" spans="1:11" x14ac:dyDescent="0.25">
      <c r="A68" t="s">
        <v>15</v>
      </c>
      <c r="B68" t="s">
        <v>47</v>
      </c>
      <c r="C68" t="s">
        <v>42</v>
      </c>
      <c r="D68" t="s">
        <v>29</v>
      </c>
      <c r="E68">
        <v>11</v>
      </c>
      <c r="F68" t="s">
        <v>49</v>
      </c>
      <c r="G68" cm="1">
        <f t="array" ref="G68">_xlfn.SWITCH(LOWER(TRIM(F68)),
"enero",1,
"febrero",2,
"marzo",3,
"abril",4,
"mayo",5,
"junio",6,
"julio",7,
"agosto",8,
"septiembre",9,
"octubre",10,
"noviembre",11,
"diciembre",12)</f>
        <v>11</v>
      </c>
      <c r="H68">
        <v>3656925</v>
      </c>
      <c r="I68">
        <v>75</v>
      </c>
      <c r="J68">
        <v>43</v>
      </c>
      <c r="K68">
        <v>48759</v>
      </c>
    </row>
    <row r="69" spans="1:11" x14ac:dyDescent="0.25">
      <c r="A69" t="s">
        <v>37</v>
      </c>
      <c r="B69" t="s">
        <v>40</v>
      </c>
      <c r="C69" t="s">
        <v>12</v>
      </c>
      <c r="D69" t="s">
        <v>29</v>
      </c>
      <c r="E69">
        <v>13</v>
      </c>
      <c r="F69" t="s">
        <v>35</v>
      </c>
      <c r="G69" cm="1">
        <f t="array" ref="G69">_xlfn.SWITCH(LOWER(TRIM(F69)),
"enero",1,
"febrero",2,
"marzo",3,
"abril",4,
"mayo",5,
"junio",6,
"julio",7,
"agosto",8,
"septiembre",9,
"octubre",10,
"noviembre",11,
"diciembre",12)</f>
        <v>6</v>
      </c>
      <c r="H69">
        <v>5521560</v>
      </c>
      <c r="I69">
        <v>89</v>
      </c>
      <c r="J69">
        <v>232</v>
      </c>
      <c r="K69">
        <v>62040</v>
      </c>
    </row>
    <row r="70" spans="1:11" x14ac:dyDescent="0.25">
      <c r="A70" t="s">
        <v>15</v>
      </c>
      <c r="B70" t="s">
        <v>27</v>
      </c>
      <c r="C70" t="s">
        <v>28</v>
      </c>
      <c r="D70" t="s">
        <v>29</v>
      </c>
      <c r="E70">
        <v>40</v>
      </c>
      <c r="F70" t="s">
        <v>46</v>
      </c>
      <c r="G70" cm="1">
        <f t="array" ref="G70">_xlfn.SWITCH(LOWER(TRIM(F70)),
"enero",1,
"febrero",2,
"marzo",3,
"abril",4,
"mayo",5,
"junio",6,
"julio",7,
"agosto",8,
"septiembre",9,
"octubre",10,
"noviembre",11,
"diciembre",12)</f>
        <v>3</v>
      </c>
      <c r="H70">
        <v>4153768</v>
      </c>
      <c r="I70">
        <v>74</v>
      </c>
      <c r="J70">
        <v>23</v>
      </c>
      <c r="K70">
        <v>56132</v>
      </c>
    </row>
    <row r="71" spans="1:11" x14ac:dyDescent="0.25">
      <c r="A71" t="s">
        <v>18</v>
      </c>
      <c r="B71" t="s">
        <v>50</v>
      </c>
      <c r="C71" t="s">
        <v>20</v>
      </c>
      <c r="D71" t="s">
        <v>17</v>
      </c>
      <c r="E71">
        <v>40</v>
      </c>
      <c r="F71" t="s">
        <v>30</v>
      </c>
      <c r="G71" cm="1">
        <f t="array" ref="G71">_xlfn.SWITCH(LOWER(TRIM(F71)),
"enero",1,
"febrero",2,
"marzo",3,
"abril",4,
"mayo",5,
"junio",6,
"julio",7,
"agosto",8,
"septiembre",9,
"octubre",10,
"noviembre",11,
"diciembre",12)</f>
        <v>10</v>
      </c>
      <c r="H71">
        <v>6081776</v>
      </c>
      <c r="I71">
        <v>146</v>
      </c>
      <c r="J71">
        <v>637</v>
      </c>
      <c r="K71">
        <v>41656</v>
      </c>
    </row>
    <row r="72" spans="1:11" x14ac:dyDescent="0.25">
      <c r="A72" t="s">
        <v>37</v>
      </c>
      <c r="B72" t="s">
        <v>32</v>
      </c>
      <c r="C72" t="s">
        <v>28</v>
      </c>
      <c r="D72" t="s">
        <v>17</v>
      </c>
      <c r="E72">
        <v>29</v>
      </c>
      <c r="F72" t="s">
        <v>35</v>
      </c>
      <c r="G72" cm="1">
        <f t="array" ref="G72">_xlfn.SWITCH(LOWER(TRIM(F72)),
"enero",1,
"febrero",2,
"marzo",3,
"abril",4,
"mayo",5,
"junio",6,
"julio",7,
"agosto",8,
"septiembre",9,
"octubre",10,
"noviembre",11,
"diciembre",12)</f>
        <v>6</v>
      </c>
      <c r="H72">
        <v>2804198</v>
      </c>
      <c r="I72">
        <v>62</v>
      </c>
      <c r="J72">
        <v>515</v>
      </c>
      <c r="K72">
        <v>45229</v>
      </c>
    </row>
    <row r="73" spans="1:11" x14ac:dyDescent="0.25">
      <c r="A73" t="s">
        <v>15</v>
      </c>
      <c r="B73" t="s">
        <v>53</v>
      </c>
      <c r="C73" t="s">
        <v>24</v>
      </c>
      <c r="D73" t="s">
        <v>29</v>
      </c>
      <c r="E73">
        <v>3</v>
      </c>
      <c r="F73" t="s">
        <v>22</v>
      </c>
      <c r="G73" cm="1">
        <f t="array" ref="G73">_xlfn.SWITCH(LOWER(TRIM(F73)),
"enero",1,
"febrero",2,
"marzo",3,
"abril",4,
"mayo",5,
"junio",6,
"julio",7,
"agosto",8,
"septiembre",9,
"octubre",10,
"noviembre",11,
"diciembre",12)</f>
        <v>7</v>
      </c>
      <c r="H73">
        <v>3105860</v>
      </c>
      <c r="I73">
        <v>83</v>
      </c>
      <c r="J73">
        <v>70</v>
      </c>
      <c r="K73">
        <v>37420</v>
      </c>
    </row>
    <row r="74" spans="1:11" x14ac:dyDescent="0.25">
      <c r="A74" t="s">
        <v>31</v>
      </c>
      <c r="B74" t="s">
        <v>57</v>
      </c>
      <c r="C74" t="s">
        <v>42</v>
      </c>
      <c r="D74" t="s">
        <v>17</v>
      </c>
      <c r="E74">
        <v>42</v>
      </c>
      <c r="F74" t="s">
        <v>45</v>
      </c>
      <c r="G74" cm="1">
        <f t="array" ref="G74">_xlfn.SWITCH(LOWER(TRIM(F74)),
"enero",1,
"febrero",2,
"marzo",3,
"abril",4,
"mayo",5,
"junio",6,
"julio",7,
"agosto",8,
"septiembre",9,
"octubre",10,
"noviembre",11,
"diciembre",12)</f>
        <v>2</v>
      </c>
      <c r="H74">
        <v>3188224</v>
      </c>
      <c r="I74">
        <v>64</v>
      </c>
      <c r="J74">
        <v>179</v>
      </c>
      <c r="K74">
        <v>49816</v>
      </c>
    </row>
    <row r="75" spans="1:11" x14ac:dyDescent="0.25">
      <c r="A75" t="s">
        <v>37</v>
      </c>
      <c r="B75" t="s">
        <v>27</v>
      </c>
      <c r="C75" t="s">
        <v>28</v>
      </c>
      <c r="D75" t="s">
        <v>29</v>
      </c>
      <c r="E75">
        <v>1</v>
      </c>
      <c r="F75" t="s">
        <v>22</v>
      </c>
      <c r="G75" cm="1">
        <f t="array" ref="G75">_xlfn.SWITCH(LOWER(TRIM(F75)),
"enero",1,
"febrero",2,
"marzo",3,
"abril",4,
"mayo",5,
"junio",6,
"julio",7,
"agosto",8,
"septiembre",9,
"octubre",10,
"noviembre",11,
"diciembre",12)</f>
        <v>7</v>
      </c>
      <c r="H75">
        <v>4973136</v>
      </c>
      <c r="I75">
        <v>112</v>
      </c>
      <c r="J75">
        <v>280</v>
      </c>
      <c r="K75">
        <v>44403</v>
      </c>
    </row>
    <row r="76" spans="1:11" x14ac:dyDescent="0.25">
      <c r="A76" t="s">
        <v>15</v>
      </c>
      <c r="B76" t="s">
        <v>41</v>
      </c>
      <c r="C76" t="s">
        <v>42</v>
      </c>
      <c r="D76" t="s">
        <v>25</v>
      </c>
      <c r="E76">
        <v>10</v>
      </c>
      <c r="F76" t="s">
        <v>39</v>
      </c>
      <c r="G76" cm="1">
        <f t="array" ref="G76">_xlfn.SWITCH(LOWER(TRIM(F76)),
"enero",1,
"febrero",2,
"marzo",3,
"abril",4,
"mayo",5,
"junio",6,
"julio",7,
"agosto",8,
"septiembre",9,
"octubre",10,
"noviembre",11,
"diciembre",12)</f>
        <v>12</v>
      </c>
      <c r="H76">
        <v>2843122</v>
      </c>
      <c r="I76">
        <v>46</v>
      </c>
      <c r="J76">
        <v>892</v>
      </c>
      <c r="K76">
        <v>61807</v>
      </c>
    </row>
    <row r="77" spans="1:11" x14ac:dyDescent="0.25">
      <c r="A77" t="s">
        <v>37</v>
      </c>
      <c r="B77" t="s">
        <v>11</v>
      </c>
      <c r="C77" t="s">
        <v>12</v>
      </c>
      <c r="D77" t="s">
        <v>13</v>
      </c>
      <c r="E77">
        <v>26</v>
      </c>
      <c r="F77" t="s">
        <v>43</v>
      </c>
      <c r="G77" cm="1">
        <f t="array" ref="G77">_xlfn.SWITCH(LOWER(TRIM(F77)),
"enero",1,
"febrero",2,
"marzo",3,
"abril",4,
"mayo",5,
"junio",6,
"julio",7,
"agosto",8,
"septiembre",9,
"octubre",10,
"noviembre",11,
"diciembre",12)</f>
        <v>5</v>
      </c>
      <c r="H77">
        <v>1545592</v>
      </c>
      <c r="I77">
        <v>43</v>
      </c>
      <c r="J77">
        <v>102</v>
      </c>
      <c r="K77">
        <v>35944</v>
      </c>
    </row>
    <row r="78" spans="1:11" x14ac:dyDescent="0.25">
      <c r="A78" t="s">
        <v>15</v>
      </c>
      <c r="B78" t="s">
        <v>56</v>
      </c>
      <c r="C78" t="s">
        <v>24</v>
      </c>
      <c r="D78" t="s">
        <v>17</v>
      </c>
      <c r="E78">
        <v>16</v>
      </c>
      <c r="F78" t="s">
        <v>46</v>
      </c>
      <c r="G78" cm="1">
        <f t="array" ref="G78">_xlfn.SWITCH(LOWER(TRIM(F78)),
"enero",1,
"febrero",2,
"marzo",3,
"abril",4,
"mayo",5,
"junio",6,
"julio",7,
"agosto",8,
"septiembre",9,
"octubre",10,
"noviembre",11,
"diciembre",12)</f>
        <v>3</v>
      </c>
      <c r="H78">
        <v>2890300</v>
      </c>
      <c r="I78">
        <v>70</v>
      </c>
      <c r="J78">
        <v>566</v>
      </c>
      <c r="K78">
        <v>41290</v>
      </c>
    </row>
    <row r="79" spans="1:11" x14ac:dyDescent="0.25">
      <c r="A79" t="s">
        <v>15</v>
      </c>
      <c r="B79" t="s">
        <v>53</v>
      </c>
      <c r="C79" t="s">
        <v>24</v>
      </c>
      <c r="D79" t="s">
        <v>29</v>
      </c>
      <c r="E79">
        <v>28</v>
      </c>
      <c r="F79" t="s">
        <v>35</v>
      </c>
      <c r="G79" cm="1">
        <f t="array" ref="G79">_xlfn.SWITCH(LOWER(TRIM(F79)),
"enero",1,
"febrero",2,
"marzo",3,
"abril",4,
"mayo",5,
"junio",6,
"julio",7,
"agosto",8,
"septiembre",9,
"octubre",10,
"noviembre",11,
"diciembre",12)</f>
        <v>6</v>
      </c>
      <c r="H79">
        <v>7958638</v>
      </c>
      <c r="I79">
        <v>163</v>
      </c>
      <c r="J79">
        <v>163</v>
      </c>
      <c r="K79">
        <v>48826</v>
      </c>
    </row>
    <row r="80" spans="1:11" x14ac:dyDescent="0.25">
      <c r="A80" t="s">
        <v>18</v>
      </c>
      <c r="B80" t="s">
        <v>58</v>
      </c>
      <c r="C80" t="s">
        <v>12</v>
      </c>
      <c r="D80" t="s">
        <v>21</v>
      </c>
      <c r="E80">
        <v>6</v>
      </c>
      <c r="F80" t="s">
        <v>43</v>
      </c>
      <c r="G80" cm="1">
        <f t="array" ref="G80">_xlfn.SWITCH(LOWER(TRIM(F80)),
"enero",1,
"febrero",2,
"marzo",3,
"abril",4,
"mayo",5,
"junio",6,
"julio",7,
"agosto",8,
"septiembre",9,
"octubre",10,
"noviembre",11,
"diciembre",12)</f>
        <v>5</v>
      </c>
      <c r="H80">
        <v>8040312</v>
      </c>
      <c r="I80">
        <v>129</v>
      </c>
      <c r="J80">
        <v>889</v>
      </c>
      <c r="K80">
        <v>62328</v>
      </c>
    </row>
    <row r="81" spans="1:11" x14ac:dyDescent="0.25">
      <c r="A81" t="s">
        <v>37</v>
      </c>
      <c r="B81" t="s">
        <v>61</v>
      </c>
      <c r="C81" t="s">
        <v>28</v>
      </c>
      <c r="D81" t="s">
        <v>25</v>
      </c>
      <c r="E81">
        <v>20</v>
      </c>
      <c r="F81" t="s">
        <v>60</v>
      </c>
      <c r="G81" cm="1">
        <f t="array" ref="G81">_xlfn.SWITCH(LOWER(TRIM(F81)),
"enero",1,
"febrero",2,
"marzo",3,
"abril",4,
"mayo",5,
"junio",6,
"julio",7,
"agosto",8,
"septiembre",9,
"octubre",10,
"noviembre",11,
"diciembre",12)</f>
        <v>4</v>
      </c>
      <c r="H81">
        <v>4731974</v>
      </c>
      <c r="I81">
        <v>82</v>
      </c>
      <c r="J81">
        <v>428</v>
      </c>
      <c r="K81">
        <v>57707</v>
      </c>
    </row>
    <row r="82" spans="1:11" x14ac:dyDescent="0.25">
      <c r="A82" t="s">
        <v>10</v>
      </c>
      <c r="B82" t="s">
        <v>23</v>
      </c>
      <c r="C82" t="s">
        <v>24</v>
      </c>
      <c r="D82" t="s">
        <v>25</v>
      </c>
      <c r="E82">
        <v>42</v>
      </c>
      <c r="F82" t="s">
        <v>14</v>
      </c>
      <c r="G82" cm="1">
        <f t="array" ref="G82">_xlfn.SWITCH(LOWER(TRIM(F82)),
"enero",1,
"febrero",2,
"marzo",3,
"abril",4,
"mayo",5,
"junio",6,
"julio",7,
"agosto",8,
"septiembre",9,
"octubre",10,
"noviembre",11,
"diciembre",12)</f>
        <v>8</v>
      </c>
      <c r="H82">
        <v>4863300</v>
      </c>
      <c r="I82">
        <v>78</v>
      </c>
      <c r="J82">
        <v>170</v>
      </c>
      <c r="K82">
        <v>62350</v>
      </c>
    </row>
    <row r="83" spans="1:11" x14ac:dyDescent="0.25">
      <c r="A83" t="s">
        <v>10</v>
      </c>
      <c r="B83" t="s">
        <v>48</v>
      </c>
      <c r="C83" t="s">
        <v>20</v>
      </c>
      <c r="D83" t="s">
        <v>13</v>
      </c>
      <c r="E83">
        <v>47</v>
      </c>
      <c r="F83" t="s">
        <v>26</v>
      </c>
      <c r="G83" cm="1">
        <f t="array" ref="G83">_xlfn.SWITCH(LOWER(TRIM(F83)),
"enero",1,
"febrero",2,
"marzo",3,
"abril",4,
"mayo",5,
"junio",6,
"julio",7,
"agosto",8,
"septiembre",9,
"octubre",10,
"noviembre",11,
"diciembre",12)</f>
        <v>9</v>
      </c>
      <c r="H83">
        <v>5494278</v>
      </c>
      <c r="I83">
        <v>111</v>
      </c>
      <c r="J83">
        <v>684</v>
      </c>
      <c r="K83">
        <v>49498</v>
      </c>
    </row>
    <row r="84" spans="1:11" x14ac:dyDescent="0.25">
      <c r="A84" t="s">
        <v>31</v>
      </c>
      <c r="B84" t="s">
        <v>34</v>
      </c>
      <c r="C84" t="s">
        <v>28</v>
      </c>
      <c r="D84" t="s">
        <v>13</v>
      </c>
      <c r="E84">
        <v>27</v>
      </c>
      <c r="F84" t="s">
        <v>30</v>
      </c>
      <c r="G84" cm="1">
        <f t="array" ref="G84">_xlfn.SWITCH(LOWER(TRIM(F84)),
"enero",1,
"febrero",2,
"marzo",3,
"abril",4,
"mayo",5,
"junio",6,
"julio",7,
"agosto",8,
"septiembre",9,
"octubre",10,
"noviembre",11,
"diciembre",12)</f>
        <v>10</v>
      </c>
      <c r="H84">
        <v>4437086</v>
      </c>
      <c r="I84">
        <v>73</v>
      </c>
      <c r="J84">
        <v>177</v>
      </c>
      <c r="K84">
        <v>60782</v>
      </c>
    </row>
    <row r="85" spans="1:11" x14ac:dyDescent="0.25">
      <c r="A85" t="s">
        <v>37</v>
      </c>
      <c r="B85" t="s">
        <v>41</v>
      </c>
      <c r="C85" t="s">
        <v>42</v>
      </c>
      <c r="D85" t="s">
        <v>25</v>
      </c>
      <c r="E85">
        <v>8</v>
      </c>
      <c r="F85" t="s">
        <v>39</v>
      </c>
      <c r="G85" cm="1">
        <f t="array" ref="G85">_xlfn.SWITCH(LOWER(TRIM(F85)),
"enero",1,
"febrero",2,
"marzo",3,
"abril",4,
"mayo",5,
"junio",6,
"julio",7,
"agosto",8,
"septiembre",9,
"octubre",10,
"noviembre",11,
"diciembre",12)</f>
        <v>12</v>
      </c>
      <c r="H85">
        <v>4339230</v>
      </c>
      <c r="I85">
        <v>70</v>
      </c>
      <c r="J85">
        <v>284</v>
      </c>
      <c r="K85">
        <v>61989</v>
      </c>
    </row>
    <row r="86" spans="1:11" x14ac:dyDescent="0.25">
      <c r="A86" t="s">
        <v>37</v>
      </c>
      <c r="B86" t="s">
        <v>32</v>
      </c>
      <c r="C86" t="s">
        <v>28</v>
      </c>
      <c r="D86" t="s">
        <v>17</v>
      </c>
      <c r="E86">
        <v>29</v>
      </c>
      <c r="F86" t="s">
        <v>26</v>
      </c>
      <c r="G86" cm="1">
        <f t="array" ref="G86">_xlfn.SWITCH(LOWER(TRIM(F86)),
"enero",1,
"febrero",2,
"marzo",3,
"abril",4,
"mayo",5,
"junio",6,
"julio",7,
"agosto",8,
"septiembre",9,
"octubre",10,
"noviembre",11,
"diciembre",12)</f>
        <v>9</v>
      </c>
      <c r="H86">
        <v>7155280</v>
      </c>
      <c r="I86">
        <v>173</v>
      </c>
      <c r="J86">
        <v>710</v>
      </c>
      <c r="K86">
        <v>41360</v>
      </c>
    </row>
    <row r="87" spans="1:11" x14ac:dyDescent="0.25">
      <c r="A87" t="s">
        <v>15</v>
      </c>
      <c r="B87" t="s">
        <v>38</v>
      </c>
      <c r="C87" t="s">
        <v>20</v>
      </c>
      <c r="D87" t="s">
        <v>25</v>
      </c>
      <c r="E87">
        <v>20</v>
      </c>
      <c r="F87" t="s">
        <v>33</v>
      </c>
      <c r="G87" cm="1">
        <f t="array" ref="G87">_xlfn.SWITCH(LOWER(TRIM(F87)),
"enero",1,
"febrero",2,
"marzo",3,
"abril",4,
"mayo",5,
"junio",6,
"julio",7,
"agosto",8,
"septiembre",9,
"octubre",10,
"noviembre",11,
"diciembre",12)</f>
        <v>1</v>
      </c>
      <c r="H87">
        <v>2689152</v>
      </c>
      <c r="I87">
        <v>64</v>
      </c>
      <c r="J87">
        <v>754</v>
      </c>
      <c r="K87">
        <v>42018</v>
      </c>
    </row>
    <row r="88" spans="1:11" x14ac:dyDescent="0.25">
      <c r="A88" t="s">
        <v>15</v>
      </c>
      <c r="B88" t="s">
        <v>16</v>
      </c>
      <c r="C88" t="s">
        <v>12</v>
      </c>
      <c r="D88" t="s">
        <v>17</v>
      </c>
      <c r="E88">
        <v>37</v>
      </c>
      <c r="F88" t="s">
        <v>35</v>
      </c>
      <c r="G88" cm="1">
        <f t="array" ref="G88">_xlfn.SWITCH(LOWER(TRIM(F88)),
"enero",1,
"febrero",2,
"marzo",3,
"abril",4,
"mayo",5,
"junio",6,
"julio",7,
"agosto",8,
"septiembre",9,
"octubre",10,
"noviembre",11,
"diciembre",12)</f>
        <v>6</v>
      </c>
      <c r="H88">
        <v>6206740</v>
      </c>
      <c r="I88">
        <v>166</v>
      </c>
      <c r="J88">
        <v>314</v>
      </c>
      <c r="K88">
        <v>37390</v>
      </c>
    </row>
    <row r="89" spans="1:11" x14ac:dyDescent="0.25">
      <c r="A89" t="s">
        <v>10</v>
      </c>
      <c r="B89" t="s">
        <v>51</v>
      </c>
      <c r="C89" t="s">
        <v>24</v>
      </c>
      <c r="D89" t="s">
        <v>21</v>
      </c>
      <c r="E89">
        <v>15</v>
      </c>
      <c r="F89" t="s">
        <v>43</v>
      </c>
      <c r="G89" cm="1">
        <f t="array" ref="G89">_xlfn.SWITCH(LOWER(TRIM(F89)),
"enero",1,
"febrero",2,
"marzo",3,
"abril",4,
"mayo",5,
"junio",6,
"julio",7,
"agosto",8,
"septiembre",9,
"octubre",10,
"noviembre",11,
"diciembre",12)</f>
        <v>5</v>
      </c>
      <c r="H89">
        <v>5269750</v>
      </c>
      <c r="I89">
        <v>107</v>
      </c>
      <c r="J89">
        <v>523</v>
      </c>
      <c r="K89">
        <v>49250</v>
      </c>
    </row>
    <row r="90" spans="1:11" x14ac:dyDescent="0.25">
      <c r="A90" t="s">
        <v>15</v>
      </c>
      <c r="B90" t="s">
        <v>58</v>
      </c>
      <c r="C90" t="s">
        <v>12</v>
      </c>
      <c r="D90" t="s">
        <v>21</v>
      </c>
      <c r="E90">
        <v>21</v>
      </c>
      <c r="F90" t="s">
        <v>39</v>
      </c>
      <c r="G90" cm="1">
        <f t="array" ref="G90">_xlfn.SWITCH(LOWER(TRIM(F90)),
"enero",1,
"febrero",2,
"marzo",3,
"abril",4,
"mayo",5,
"junio",6,
"julio",7,
"agosto",8,
"septiembre",9,
"octubre",10,
"noviembre",11,
"diciembre",12)</f>
        <v>12</v>
      </c>
      <c r="H90">
        <v>10896768</v>
      </c>
      <c r="I90">
        <v>192</v>
      </c>
      <c r="J90">
        <v>804</v>
      </c>
      <c r="K90">
        <v>56754</v>
      </c>
    </row>
    <row r="91" spans="1:11" x14ac:dyDescent="0.25">
      <c r="A91" t="s">
        <v>15</v>
      </c>
      <c r="B91" t="s">
        <v>54</v>
      </c>
      <c r="C91" t="s">
        <v>28</v>
      </c>
      <c r="D91" t="s">
        <v>21</v>
      </c>
      <c r="E91">
        <v>2</v>
      </c>
      <c r="F91" t="s">
        <v>35</v>
      </c>
      <c r="G91" cm="1">
        <f t="array" ref="G91">_xlfn.SWITCH(LOWER(TRIM(F91)),
"enero",1,
"febrero",2,
"marzo",3,
"abril",4,
"mayo",5,
"junio",6,
"julio",7,
"agosto",8,
"septiembre",9,
"octubre",10,
"noviembre",11,
"diciembre",12)</f>
        <v>6</v>
      </c>
      <c r="H91">
        <v>4774875</v>
      </c>
      <c r="I91">
        <v>119</v>
      </c>
      <c r="J91">
        <v>545</v>
      </c>
      <c r="K91">
        <v>40125</v>
      </c>
    </row>
    <row r="92" spans="1:11" x14ac:dyDescent="0.25">
      <c r="A92" t="s">
        <v>15</v>
      </c>
      <c r="B92" t="s">
        <v>27</v>
      </c>
      <c r="C92" t="s">
        <v>28</v>
      </c>
      <c r="D92" t="s">
        <v>29</v>
      </c>
      <c r="E92">
        <v>48</v>
      </c>
      <c r="F92" t="s">
        <v>49</v>
      </c>
      <c r="G92" cm="1">
        <f t="array" ref="G92">_xlfn.SWITCH(LOWER(TRIM(F92)),
"enero",1,
"febrero",2,
"marzo",3,
"abril",4,
"mayo",5,
"junio",6,
"julio",7,
"agosto",8,
"septiembre",9,
"octubre",10,
"noviembre",11,
"diciembre",12)</f>
        <v>11</v>
      </c>
      <c r="H92">
        <v>1205218</v>
      </c>
      <c r="I92">
        <v>31</v>
      </c>
      <c r="J92">
        <v>560</v>
      </c>
      <c r="K92">
        <v>38878</v>
      </c>
    </row>
    <row r="93" spans="1:11" x14ac:dyDescent="0.25">
      <c r="A93" t="s">
        <v>10</v>
      </c>
      <c r="B93" t="s">
        <v>58</v>
      </c>
      <c r="C93" t="s">
        <v>12</v>
      </c>
      <c r="D93" t="s">
        <v>21</v>
      </c>
      <c r="E93">
        <v>13</v>
      </c>
      <c r="F93" t="s">
        <v>30</v>
      </c>
      <c r="G93" cm="1">
        <f t="array" ref="G93">_xlfn.SWITCH(LOWER(TRIM(F93)),
"enero",1,
"febrero",2,
"marzo",3,
"abril",4,
"mayo",5,
"junio",6,
"julio",7,
"agosto",8,
"septiembre",9,
"octubre",10,
"noviembre",11,
"diciembre",12)</f>
        <v>10</v>
      </c>
      <c r="H93">
        <v>4752202</v>
      </c>
      <c r="I93">
        <v>91</v>
      </c>
      <c r="J93">
        <v>820</v>
      </c>
      <c r="K93">
        <v>52222</v>
      </c>
    </row>
    <row r="94" spans="1:11" x14ac:dyDescent="0.25">
      <c r="A94" t="s">
        <v>15</v>
      </c>
      <c r="B94" t="s">
        <v>53</v>
      </c>
      <c r="C94" t="s">
        <v>24</v>
      </c>
      <c r="D94" t="s">
        <v>29</v>
      </c>
      <c r="E94">
        <v>5</v>
      </c>
      <c r="F94" t="s">
        <v>22</v>
      </c>
      <c r="G94" cm="1">
        <f t="array" ref="G94">_xlfn.SWITCH(LOWER(TRIM(F94)),
"enero",1,
"febrero",2,
"marzo",3,
"abril",4,
"mayo",5,
"junio",6,
"julio",7,
"agosto",8,
"septiembre",9,
"octubre",10,
"noviembre",11,
"diciembre",12)</f>
        <v>7</v>
      </c>
      <c r="H94">
        <v>4217202</v>
      </c>
      <c r="I94">
        <v>114</v>
      </c>
      <c r="J94">
        <v>299</v>
      </c>
      <c r="K94">
        <v>36993</v>
      </c>
    </row>
    <row r="95" spans="1:11" x14ac:dyDescent="0.25">
      <c r="A95" t="s">
        <v>15</v>
      </c>
      <c r="B95" t="s">
        <v>11</v>
      </c>
      <c r="C95" t="s">
        <v>12</v>
      </c>
      <c r="D95" t="s">
        <v>13</v>
      </c>
      <c r="E95">
        <v>43</v>
      </c>
      <c r="F95" t="s">
        <v>39</v>
      </c>
      <c r="G95" cm="1">
        <f t="array" ref="G95">_xlfn.SWITCH(LOWER(TRIM(F95)),
"enero",1,
"febrero",2,
"marzo",3,
"abril",4,
"mayo",5,
"junio",6,
"julio",7,
"agosto",8,
"septiembre",9,
"octubre",10,
"noviembre",11,
"diciembre",12)</f>
        <v>12</v>
      </c>
      <c r="H95">
        <v>6806580</v>
      </c>
      <c r="I95">
        <v>165</v>
      </c>
      <c r="J95">
        <v>169</v>
      </c>
      <c r="K95">
        <v>41252</v>
      </c>
    </row>
    <row r="96" spans="1:11" x14ac:dyDescent="0.25">
      <c r="A96" t="s">
        <v>37</v>
      </c>
      <c r="B96" t="s">
        <v>34</v>
      </c>
      <c r="C96" t="s">
        <v>28</v>
      </c>
      <c r="D96" t="s">
        <v>13</v>
      </c>
      <c r="E96">
        <v>46</v>
      </c>
      <c r="F96" t="s">
        <v>22</v>
      </c>
      <c r="G96" cm="1">
        <f t="array" ref="G96">_xlfn.SWITCH(LOWER(TRIM(F96)),
"enero",1,
"febrero",2,
"marzo",3,
"abril",4,
"mayo",5,
"junio",6,
"julio",7,
"agosto",8,
"septiembre",9,
"octubre",10,
"noviembre",11,
"diciembre",12)</f>
        <v>7</v>
      </c>
      <c r="H96">
        <v>11235114</v>
      </c>
      <c r="I96">
        <v>198</v>
      </c>
      <c r="J96">
        <v>433</v>
      </c>
      <c r="K96">
        <v>56743</v>
      </c>
    </row>
    <row r="97" spans="1:11" x14ac:dyDescent="0.25">
      <c r="A97" t="s">
        <v>15</v>
      </c>
      <c r="B97" t="s">
        <v>19</v>
      </c>
      <c r="C97" t="s">
        <v>20</v>
      </c>
      <c r="D97" t="s">
        <v>21</v>
      </c>
      <c r="E97">
        <v>47</v>
      </c>
      <c r="F97" t="s">
        <v>33</v>
      </c>
      <c r="G97" cm="1">
        <f t="array" ref="G97">_xlfn.SWITCH(LOWER(TRIM(F97)),
"enero",1,
"febrero",2,
"marzo",3,
"abril",4,
"mayo",5,
"junio",6,
"julio",7,
"agosto",8,
"septiembre",9,
"octubre",10,
"noviembre",11,
"diciembre",12)</f>
        <v>1</v>
      </c>
      <c r="H97">
        <v>3368380</v>
      </c>
      <c r="I97">
        <v>85</v>
      </c>
      <c r="J97">
        <v>453</v>
      </c>
      <c r="K97">
        <v>39628</v>
      </c>
    </row>
    <row r="98" spans="1:11" x14ac:dyDescent="0.25">
      <c r="A98" t="s">
        <v>15</v>
      </c>
      <c r="B98" t="s">
        <v>34</v>
      </c>
      <c r="C98" t="s">
        <v>28</v>
      </c>
      <c r="D98" t="s">
        <v>13</v>
      </c>
      <c r="E98">
        <v>23</v>
      </c>
      <c r="F98" t="s">
        <v>45</v>
      </c>
      <c r="G98" cm="1">
        <f t="array" ref="G98">_xlfn.SWITCH(LOWER(TRIM(F98)),
"enero",1,
"febrero",2,
"marzo",3,
"abril",4,
"mayo",5,
"junio",6,
"julio",7,
"agosto",8,
"septiembre",9,
"octubre",10,
"noviembre",11,
"diciembre",12)</f>
        <v>2</v>
      </c>
      <c r="H98">
        <v>4521772</v>
      </c>
      <c r="I98">
        <v>76</v>
      </c>
      <c r="J98">
        <v>27</v>
      </c>
      <c r="K98">
        <v>59497</v>
      </c>
    </row>
    <row r="99" spans="1:11" x14ac:dyDescent="0.25">
      <c r="A99" t="s">
        <v>15</v>
      </c>
      <c r="B99" t="s">
        <v>36</v>
      </c>
      <c r="C99" t="s">
        <v>20</v>
      </c>
      <c r="D99" t="s">
        <v>29</v>
      </c>
      <c r="E99">
        <v>10</v>
      </c>
      <c r="F99" t="s">
        <v>14</v>
      </c>
      <c r="G99" cm="1">
        <f t="array" ref="G99">_xlfn.SWITCH(LOWER(TRIM(F99)),
"enero",1,
"febrero",2,
"marzo",3,
"abril",4,
"mayo",5,
"junio",6,
"julio",7,
"agosto",8,
"septiembre",9,
"octubre",10,
"noviembre",11,
"diciembre",12)</f>
        <v>8</v>
      </c>
      <c r="H99">
        <v>1746492</v>
      </c>
      <c r="I99">
        <v>44</v>
      </c>
      <c r="J99">
        <v>596</v>
      </c>
      <c r="K99">
        <v>39693</v>
      </c>
    </row>
    <row r="100" spans="1:11" x14ac:dyDescent="0.25">
      <c r="A100" t="s">
        <v>10</v>
      </c>
      <c r="B100" t="s">
        <v>44</v>
      </c>
      <c r="C100" t="s">
        <v>42</v>
      </c>
      <c r="D100" t="s">
        <v>13</v>
      </c>
      <c r="E100">
        <v>45</v>
      </c>
      <c r="F100" t="s">
        <v>35</v>
      </c>
      <c r="G100" cm="1">
        <f t="array" ref="G100">_xlfn.SWITCH(LOWER(TRIM(F100)),
"enero",1,
"febrero",2,
"marzo",3,
"abril",4,
"mayo",5,
"junio",6,
"julio",7,
"agosto",8,
"septiembre",9,
"octubre",10,
"noviembre",11,
"diciembre",12)</f>
        <v>6</v>
      </c>
      <c r="H100">
        <v>1291185</v>
      </c>
      <c r="I100">
        <v>35</v>
      </c>
      <c r="J100">
        <v>702</v>
      </c>
      <c r="K100">
        <v>36891</v>
      </c>
    </row>
    <row r="101" spans="1:11" x14ac:dyDescent="0.25">
      <c r="A101" t="s">
        <v>31</v>
      </c>
      <c r="B101" t="s">
        <v>50</v>
      </c>
      <c r="C101" t="s">
        <v>20</v>
      </c>
      <c r="D101" t="s">
        <v>17</v>
      </c>
      <c r="E101">
        <v>20</v>
      </c>
      <c r="F101" t="s">
        <v>39</v>
      </c>
      <c r="G101" cm="1">
        <f t="array" ref="G101">_xlfn.SWITCH(LOWER(TRIM(F101)),
"enero",1,
"febrero",2,
"marzo",3,
"abril",4,
"mayo",5,
"junio",6,
"julio",7,
"agosto",8,
"septiembre",9,
"octubre",10,
"noviembre",11,
"diciembre",12)</f>
        <v>12</v>
      </c>
      <c r="H101">
        <v>2554566</v>
      </c>
      <c r="I101">
        <v>42</v>
      </c>
      <c r="J101">
        <v>634</v>
      </c>
      <c r="K101">
        <v>60823</v>
      </c>
    </row>
    <row r="102" spans="1:11" x14ac:dyDescent="0.25">
      <c r="A102" t="s">
        <v>15</v>
      </c>
      <c r="B102" t="s">
        <v>59</v>
      </c>
      <c r="C102" t="s">
        <v>12</v>
      </c>
      <c r="D102" t="s">
        <v>25</v>
      </c>
      <c r="E102">
        <v>8</v>
      </c>
      <c r="F102" t="s">
        <v>33</v>
      </c>
      <c r="G102" cm="1">
        <f t="array" ref="G102">_xlfn.SWITCH(LOWER(TRIM(F102)),
"enero",1,
"febrero",2,
"marzo",3,
"abril",4,
"mayo",5,
"junio",6,
"julio",7,
"agosto",8,
"septiembre",9,
"octubre",10,
"noviembre",11,
"diciembre",12)</f>
        <v>1</v>
      </c>
      <c r="H102">
        <v>7508655</v>
      </c>
      <c r="I102">
        <v>165</v>
      </c>
      <c r="J102">
        <v>564</v>
      </c>
      <c r="K102">
        <v>45507</v>
      </c>
    </row>
    <row r="103" spans="1:11" x14ac:dyDescent="0.25">
      <c r="A103" t="s">
        <v>31</v>
      </c>
      <c r="B103" t="s">
        <v>56</v>
      </c>
      <c r="C103" t="s">
        <v>24</v>
      </c>
      <c r="D103" t="s">
        <v>17</v>
      </c>
      <c r="E103">
        <v>20</v>
      </c>
      <c r="F103" t="s">
        <v>26</v>
      </c>
      <c r="G103" cm="1">
        <f t="array" ref="G103">_xlfn.SWITCH(LOWER(TRIM(F103)),
"enero",1,
"febrero",2,
"marzo",3,
"abril",4,
"mayo",5,
"junio",6,
"julio",7,
"agosto",8,
"septiembre",9,
"octubre",10,
"noviembre",11,
"diciembre",12)</f>
        <v>9</v>
      </c>
      <c r="H103">
        <v>4546854</v>
      </c>
      <c r="I103">
        <v>78</v>
      </c>
      <c r="J103">
        <v>666</v>
      </c>
      <c r="K103">
        <v>58293</v>
      </c>
    </row>
    <row r="104" spans="1:11" x14ac:dyDescent="0.25">
      <c r="A104" t="s">
        <v>15</v>
      </c>
      <c r="B104" t="s">
        <v>38</v>
      </c>
      <c r="C104" t="s">
        <v>20</v>
      </c>
      <c r="D104" t="s">
        <v>25</v>
      </c>
      <c r="E104">
        <v>46</v>
      </c>
      <c r="F104" t="s">
        <v>14</v>
      </c>
      <c r="G104" cm="1">
        <f t="array" ref="G104">_xlfn.SWITCH(LOWER(TRIM(F104)),
"enero",1,
"febrero",2,
"marzo",3,
"abril",4,
"mayo",5,
"junio",6,
"julio",7,
"agosto",8,
"septiembre",9,
"octubre",10,
"noviembre",11,
"diciembre",12)</f>
        <v>8</v>
      </c>
      <c r="H104">
        <v>3470769</v>
      </c>
      <c r="I104">
        <v>69</v>
      </c>
      <c r="J104">
        <v>723</v>
      </c>
      <c r="K104">
        <v>50301</v>
      </c>
    </row>
    <row r="105" spans="1:11" x14ac:dyDescent="0.25">
      <c r="A105" t="s">
        <v>10</v>
      </c>
      <c r="B105" t="s">
        <v>61</v>
      </c>
      <c r="C105" t="s">
        <v>28</v>
      </c>
      <c r="D105" t="s">
        <v>25</v>
      </c>
      <c r="E105">
        <v>30</v>
      </c>
      <c r="F105" t="s">
        <v>49</v>
      </c>
      <c r="G105" cm="1">
        <f t="array" ref="G105">_xlfn.SWITCH(LOWER(TRIM(F105)),
"enero",1,
"febrero",2,
"marzo",3,
"abril",4,
"mayo",5,
"junio",6,
"julio",7,
"agosto",8,
"septiembre",9,
"octubre",10,
"noviembre",11,
"diciembre",12)</f>
        <v>11</v>
      </c>
      <c r="H105">
        <v>3883068</v>
      </c>
      <c r="I105">
        <v>76</v>
      </c>
      <c r="J105">
        <v>142</v>
      </c>
      <c r="K105">
        <v>51093</v>
      </c>
    </row>
    <row r="106" spans="1:11" x14ac:dyDescent="0.25">
      <c r="A106" t="s">
        <v>37</v>
      </c>
      <c r="B106" t="s">
        <v>40</v>
      </c>
      <c r="C106" t="s">
        <v>12</v>
      </c>
      <c r="D106" t="s">
        <v>29</v>
      </c>
      <c r="E106">
        <v>15</v>
      </c>
      <c r="F106" t="s">
        <v>60</v>
      </c>
      <c r="G106" cm="1">
        <f t="array" ref="G106">_xlfn.SWITCH(LOWER(TRIM(F106)),
"enero",1,
"febrero",2,
"marzo",3,
"abril",4,
"mayo",5,
"junio",6,
"julio",7,
"agosto",8,
"septiembre",9,
"octubre",10,
"noviembre",11,
"diciembre",12)</f>
        <v>4</v>
      </c>
      <c r="H106">
        <v>5358052</v>
      </c>
      <c r="I106">
        <v>98</v>
      </c>
      <c r="J106">
        <v>23</v>
      </c>
      <c r="K106">
        <v>54674</v>
      </c>
    </row>
    <row r="107" spans="1:11" x14ac:dyDescent="0.25">
      <c r="A107" t="s">
        <v>18</v>
      </c>
      <c r="B107" t="s">
        <v>27</v>
      </c>
      <c r="C107" t="s">
        <v>28</v>
      </c>
      <c r="D107" t="s">
        <v>29</v>
      </c>
      <c r="E107">
        <v>49</v>
      </c>
      <c r="F107" t="s">
        <v>30</v>
      </c>
      <c r="G107" cm="1">
        <f t="array" ref="G107">_xlfn.SWITCH(LOWER(TRIM(F107)),
"enero",1,
"febrero",2,
"marzo",3,
"abril",4,
"mayo",5,
"junio",6,
"julio",7,
"agosto",8,
"septiembre",9,
"octubre",10,
"noviembre",11,
"diciembre",12)</f>
        <v>10</v>
      </c>
      <c r="H107">
        <v>4625775</v>
      </c>
      <c r="I107">
        <v>99</v>
      </c>
      <c r="J107">
        <v>86</v>
      </c>
      <c r="K107">
        <v>46725</v>
      </c>
    </row>
    <row r="108" spans="1:11" x14ac:dyDescent="0.25">
      <c r="A108" t="s">
        <v>10</v>
      </c>
      <c r="B108" t="s">
        <v>52</v>
      </c>
      <c r="C108" t="s">
        <v>24</v>
      </c>
      <c r="D108" t="s">
        <v>13</v>
      </c>
      <c r="E108">
        <v>5</v>
      </c>
      <c r="F108" t="s">
        <v>39</v>
      </c>
      <c r="G108" cm="1">
        <f t="array" ref="G108">_xlfn.SWITCH(LOWER(TRIM(F108)),
"enero",1,
"febrero",2,
"marzo",3,
"abril",4,
"mayo",5,
"junio",6,
"julio",7,
"agosto",8,
"septiembre",9,
"octubre",10,
"noviembre",11,
"diciembre",12)</f>
        <v>12</v>
      </c>
      <c r="H108">
        <v>3010878</v>
      </c>
      <c r="I108">
        <v>54</v>
      </c>
      <c r="J108">
        <v>840</v>
      </c>
      <c r="K108">
        <v>55757</v>
      </c>
    </row>
    <row r="109" spans="1:11" x14ac:dyDescent="0.25">
      <c r="A109" t="s">
        <v>37</v>
      </c>
      <c r="B109" t="s">
        <v>58</v>
      </c>
      <c r="C109" t="s">
        <v>12</v>
      </c>
      <c r="D109" t="s">
        <v>21</v>
      </c>
      <c r="E109">
        <v>26</v>
      </c>
      <c r="F109" t="s">
        <v>30</v>
      </c>
      <c r="G109" cm="1">
        <f t="array" ref="G109">_xlfn.SWITCH(LOWER(TRIM(F109)),
"enero",1,
"febrero",2,
"marzo",3,
"abril",4,
"mayo",5,
"junio",6,
"julio",7,
"agosto",8,
"septiembre",9,
"octubre",10,
"noviembre",11,
"diciembre",12)</f>
        <v>10</v>
      </c>
      <c r="H109">
        <v>7717389</v>
      </c>
      <c r="I109">
        <v>123</v>
      </c>
      <c r="J109">
        <v>791</v>
      </c>
      <c r="K109">
        <v>62743</v>
      </c>
    </row>
    <row r="110" spans="1:11" x14ac:dyDescent="0.25">
      <c r="A110" t="s">
        <v>18</v>
      </c>
      <c r="B110" t="s">
        <v>23</v>
      </c>
      <c r="C110" t="s">
        <v>24</v>
      </c>
      <c r="D110" t="s">
        <v>25</v>
      </c>
      <c r="E110">
        <v>14</v>
      </c>
      <c r="F110" t="s">
        <v>39</v>
      </c>
      <c r="G110" cm="1">
        <f t="array" ref="G110">_xlfn.SWITCH(LOWER(TRIM(F110)),
"enero",1,
"febrero",2,
"marzo",3,
"abril",4,
"mayo",5,
"junio",6,
"julio",7,
"agosto",8,
"septiembre",9,
"octubre",10,
"noviembre",11,
"diciembre",12)</f>
        <v>12</v>
      </c>
      <c r="H110">
        <v>4529360</v>
      </c>
      <c r="I110">
        <v>110</v>
      </c>
      <c r="J110">
        <v>442</v>
      </c>
      <c r="K110">
        <v>41176</v>
      </c>
    </row>
    <row r="111" spans="1:11" x14ac:dyDescent="0.25">
      <c r="A111" t="s">
        <v>31</v>
      </c>
      <c r="B111" t="s">
        <v>34</v>
      </c>
      <c r="C111" t="s">
        <v>28</v>
      </c>
      <c r="D111" t="s">
        <v>13</v>
      </c>
      <c r="E111">
        <v>14</v>
      </c>
      <c r="F111" t="s">
        <v>39</v>
      </c>
      <c r="G111" cm="1">
        <f t="array" ref="G111">_xlfn.SWITCH(LOWER(TRIM(F111)),
"enero",1,
"febrero",2,
"marzo",3,
"abril",4,
"mayo",5,
"junio",6,
"julio",7,
"agosto",8,
"septiembre",9,
"octubre",10,
"noviembre",11,
"diciembre",12)</f>
        <v>12</v>
      </c>
      <c r="H111">
        <v>12010346</v>
      </c>
      <c r="I111">
        <v>194</v>
      </c>
      <c r="J111">
        <v>176</v>
      </c>
      <c r="K111">
        <v>61909</v>
      </c>
    </row>
    <row r="112" spans="1:11" x14ac:dyDescent="0.25">
      <c r="A112" t="s">
        <v>31</v>
      </c>
      <c r="B112" t="s">
        <v>38</v>
      </c>
      <c r="C112" t="s">
        <v>20</v>
      </c>
      <c r="D112" t="s">
        <v>25</v>
      </c>
      <c r="E112">
        <v>34</v>
      </c>
      <c r="F112" t="s">
        <v>60</v>
      </c>
      <c r="G112" cm="1">
        <f t="array" ref="G112">_xlfn.SWITCH(LOWER(TRIM(F112)),
"enero",1,
"febrero",2,
"marzo",3,
"abril",4,
"mayo",5,
"junio",6,
"julio",7,
"agosto",8,
"septiembre",9,
"octubre",10,
"noviembre",11,
"diciembre",12)</f>
        <v>4</v>
      </c>
      <c r="H112">
        <v>5982000</v>
      </c>
      <c r="I112">
        <v>120</v>
      </c>
      <c r="J112">
        <v>12</v>
      </c>
      <c r="K112">
        <v>49850</v>
      </c>
    </row>
    <row r="113" spans="1:11" x14ac:dyDescent="0.25">
      <c r="A113" t="s">
        <v>10</v>
      </c>
      <c r="B113" t="s">
        <v>57</v>
      </c>
      <c r="C113" t="s">
        <v>42</v>
      </c>
      <c r="D113" t="s">
        <v>17</v>
      </c>
      <c r="E113">
        <v>26</v>
      </c>
      <c r="F113" t="s">
        <v>35</v>
      </c>
      <c r="G113" cm="1">
        <f t="array" ref="G113">_xlfn.SWITCH(LOWER(TRIM(F113)),
"enero",1,
"febrero",2,
"marzo",3,
"abril",4,
"mayo",5,
"junio",6,
"julio",7,
"agosto",8,
"septiembre",9,
"octubre",10,
"noviembre",11,
"diciembre",12)</f>
        <v>6</v>
      </c>
      <c r="H113">
        <v>5175738</v>
      </c>
      <c r="I113">
        <v>86</v>
      </c>
      <c r="J113">
        <v>717</v>
      </c>
      <c r="K113">
        <v>60183</v>
      </c>
    </row>
    <row r="114" spans="1:11" x14ac:dyDescent="0.25">
      <c r="A114" t="s">
        <v>15</v>
      </c>
      <c r="B114" t="s">
        <v>34</v>
      </c>
      <c r="C114" t="s">
        <v>28</v>
      </c>
      <c r="D114" t="s">
        <v>13</v>
      </c>
      <c r="E114">
        <v>37</v>
      </c>
      <c r="F114" t="s">
        <v>33</v>
      </c>
      <c r="G114" cm="1">
        <f t="array" ref="G114">_xlfn.SWITCH(LOWER(TRIM(F114)),
"enero",1,
"febrero",2,
"marzo",3,
"abril",4,
"mayo",5,
"junio",6,
"julio",7,
"agosto",8,
"septiembre",9,
"octubre",10,
"noviembre",11,
"diciembre",12)</f>
        <v>1</v>
      </c>
      <c r="H114">
        <v>10332234</v>
      </c>
      <c r="I114">
        <v>198</v>
      </c>
      <c r="J114">
        <v>304</v>
      </c>
      <c r="K114">
        <v>52183</v>
      </c>
    </row>
    <row r="115" spans="1:11" x14ac:dyDescent="0.25">
      <c r="A115" t="s">
        <v>15</v>
      </c>
      <c r="B115" t="s">
        <v>32</v>
      </c>
      <c r="C115" t="s">
        <v>28</v>
      </c>
      <c r="D115" t="s">
        <v>17</v>
      </c>
      <c r="E115">
        <v>15</v>
      </c>
      <c r="F115" t="s">
        <v>39</v>
      </c>
      <c r="G115" cm="1">
        <f t="array" ref="G115">_xlfn.SWITCH(LOWER(TRIM(F115)),
"enero",1,
"febrero",2,
"marzo",3,
"abril",4,
"mayo",5,
"junio",6,
"julio",7,
"agosto",8,
"septiembre",9,
"octubre",10,
"noviembre",11,
"diciembre",12)</f>
        <v>12</v>
      </c>
      <c r="H115">
        <v>3249350</v>
      </c>
      <c r="I115">
        <v>50</v>
      </c>
      <c r="J115">
        <v>560</v>
      </c>
      <c r="K115">
        <v>64987</v>
      </c>
    </row>
    <row r="116" spans="1:11" x14ac:dyDescent="0.25">
      <c r="A116" t="s">
        <v>10</v>
      </c>
      <c r="B116" t="s">
        <v>34</v>
      </c>
      <c r="C116" t="s">
        <v>28</v>
      </c>
      <c r="D116" t="s">
        <v>13</v>
      </c>
      <c r="E116">
        <v>50</v>
      </c>
      <c r="F116" t="s">
        <v>35</v>
      </c>
      <c r="G116" cm="1">
        <f t="array" ref="G116">_xlfn.SWITCH(LOWER(TRIM(F116)),
"enero",1,
"febrero",2,
"marzo",3,
"abril",4,
"mayo",5,
"junio",6,
"julio",7,
"agosto",8,
"septiembre",9,
"octubre",10,
"noviembre",11,
"diciembre",12)</f>
        <v>6</v>
      </c>
      <c r="H116">
        <v>11755884</v>
      </c>
      <c r="I116">
        <v>196</v>
      </c>
      <c r="J116">
        <v>714</v>
      </c>
      <c r="K116">
        <v>59979</v>
      </c>
    </row>
    <row r="117" spans="1:11" x14ac:dyDescent="0.25">
      <c r="A117" t="s">
        <v>15</v>
      </c>
      <c r="B117" t="s">
        <v>27</v>
      </c>
      <c r="C117" t="s">
        <v>28</v>
      </c>
      <c r="D117" t="s">
        <v>29</v>
      </c>
      <c r="E117">
        <v>31</v>
      </c>
      <c r="F117" t="s">
        <v>33</v>
      </c>
      <c r="G117" cm="1">
        <f t="array" ref="G117">_xlfn.SWITCH(LOWER(TRIM(F117)),
"enero",1,
"febrero",2,
"marzo",3,
"abril",4,
"mayo",5,
"junio",6,
"julio",7,
"agosto",8,
"septiembre",9,
"octubre",10,
"noviembre",11,
"diciembre",12)</f>
        <v>1</v>
      </c>
      <c r="H117">
        <v>4461642</v>
      </c>
      <c r="I117">
        <v>81</v>
      </c>
      <c r="J117">
        <v>680</v>
      </c>
      <c r="K117">
        <v>55082</v>
      </c>
    </row>
    <row r="118" spans="1:11" x14ac:dyDescent="0.25">
      <c r="A118" t="s">
        <v>10</v>
      </c>
      <c r="B118" t="s">
        <v>16</v>
      </c>
      <c r="C118" t="s">
        <v>12</v>
      </c>
      <c r="D118" t="s">
        <v>17</v>
      </c>
      <c r="E118">
        <v>47</v>
      </c>
      <c r="F118" t="s">
        <v>45</v>
      </c>
      <c r="G118" cm="1">
        <f t="array" ref="G118">_xlfn.SWITCH(LOWER(TRIM(F118)),
"enero",1,
"febrero",2,
"marzo",3,
"abril",4,
"mayo",5,
"junio",6,
"julio",7,
"agosto",8,
"septiembre",9,
"octubre",10,
"noviembre",11,
"diciembre",12)</f>
        <v>2</v>
      </c>
      <c r="H118">
        <v>4586448</v>
      </c>
      <c r="I118">
        <v>94</v>
      </c>
      <c r="J118">
        <v>248</v>
      </c>
      <c r="K118">
        <v>48792</v>
      </c>
    </row>
    <row r="119" spans="1:11" x14ac:dyDescent="0.25">
      <c r="A119" t="s">
        <v>18</v>
      </c>
      <c r="B119" t="s">
        <v>61</v>
      </c>
      <c r="C119" t="s">
        <v>28</v>
      </c>
      <c r="D119" t="s">
        <v>25</v>
      </c>
      <c r="E119">
        <v>48</v>
      </c>
      <c r="F119" t="s">
        <v>26</v>
      </c>
      <c r="G119" cm="1">
        <f t="array" ref="G119">_xlfn.SWITCH(LOWER(TRIM(F119)),
"enero",1,
"febrero",2,
"marzo",3,
"abril",4,
"mayo",5,
"junio",6,
"julio",7,
"agosto",8,
"septiembre",9,
"octubre",10,
"noviembre",11,
"diciembre",12)</f>
        <v>9</v>
      </c>
      <c r="H119">
        <v>5591240</v>
      </c>
      <c r="I119">
        <v>113</v>
      </c>
      <c r="J119">
        <v>90</v>
      </c>
      <c r="K119">
        <v>49480</v>
      </c>
    </row>
    <row r="120" spans="1:11" x14ac:dyDescent="0.25">
      <c r="A120" t="s">
        <v>31</v>
      </c>
      <c r="B120" t="s">
        <v>59</v>
      </c>
      <c r="C120" t="s">
        <v>12</v>
      </c>
      <c r="D120" t="s">
        <v>25</v>
      </c>
      <c r="E120">
        <v>21</v>
      </c>
      <c r="F120" t="s">
        <v>22</v>
      </c>
      <c r="G120" cm="1">
        <f t="array" ref="G120">_xlfn.SWITCH(LOWER(TRIM(F120)),
"enero",1,
"febrero",2,
"marzo",3,
"abril",4,
"mayo",5,
"junio",6,
"julio",7,
"agosto",8,
"septiembre",9,
"octubre",10,
"noviembre",11,
"diciembre",12)</f>
        <v>7</v>
      </c>
      <c r="H120">
        <v>3409020</v>
      </c>
      <c r="I120">
        <v>90</v>
      </c>
      <c r="J120">
        <v>22</v>
      </c>
      <c r="K120">
        <v>37878</v>
      </c>
    </row>
    <row r="121" spans="1:11" x14ac:dyDescent="0.25">
      <c r="A121" t="s">
        <v>18</v>
      </c>
      <c r="B121" t="s">
        <v>19</v>
      </c>
      <c r="C121" t="s">
        <v>20</v>
      </c>
      <c r="D121" t="s">
        <v>21</v>
      </c>
      <c r="E121">
        <v>12</v>
      </c>
      <c r="F121" t="s">
        <v>33</v>
      </c>
      <c r="G121" cm="1">
        <f t="array" ref="G121">_xlfn.SWITCH(LOWER(TRIM(F121)),
"enero",1,
"febrero",2,
"marzo",3,
"abril",4,
"mayo",5,
"junio",6,
"julio",7,
"agosto",8,
"septiembre",9,
"octubre",10,
"noviembre",11,
"diciembre",12)</f>
        <v>1</v>
      </c>
      <c r="H121">
        <v>7932600</v>
      </c>
      <c r="I121">
        <v>130</v>
      </c>
      <c r="J121">
        <v>325</v>
      </c>
      <c r="K121">
        <v>61020</v>
      </c>
    </row>
    <row r="122" spans="1:11" x14ac:dyDescent="0.25">
      <c r="A122" t="s">
        <v>37</v>
      </c>
      <c r="B122" t="s">
        <v>40</v>
      </c>
      <c r="C122" t="s">
        <v>12</v>
      </c>
      <c r="D122" t="s">
        <v>29</v>
      </c>
      <c r="E122">
        <v>48</v>
      </c>
      <c r="F122" t="s">
        <v>35</v>
      </c>
      <c r="G122" cm="1">
        <f t="array" ref="G122">_xlfn.SWITCH(LOWER(TRIM(F122)),
"enero",1,
"febrero",2,
"marzo",3,
"abril",4,
"mayo",5,
"junio",6,
"julio",7,
"agosto",8,
"septiembre",9,
"octubre",10,
"noviembre",11,
"diciembre",12)</f>
        <v>6</v>
      </c>
      <c r="H122">
        <v>5886304</v>
      </c>
      <c r="I122">
        <v>116</v>
      </c>
      <c r="J122">
        <v>735</v>
      </c>
      <c r="K122">
        <v>50744</v>
      </c>
    </row>
    <row r="123" spans="1:11" x14ac:dyDescent="0.25">
      <c r="A123" t="s">
        <v>31</v>
      </c>
      <c r="B123" t="s">
        <v>27</v>
      </c>
      <c r="C123" t="s">
        <v>28</v>
      </c>
      <c r="D123" t="s">
        <v>29</v>
      </c>
      <c r="E123">
        <v>31</v>
      </c>
      <c r="F123" t="s">
        <v>35</v>
      </c>
      <c r="G123" cm="1">
        <f t="array" ref="G123">_xlfn.SWITCH(LOWER(TRIM(F123)),
"enero",1,
"febrero",2,
"marzo",3,
"abril",4,
"mayo",5,
"junio",6,
"julio",7,
"agosto",8,
"septiembre",9,
"octubre",10,
"noviembre",11,
"diciembre",12)</f>
        <v>6</v>
      </c>
      <c r="H123">
        <v>4440908</v>
      </c>
      <c r="I123">
        <v>76</v>
      </c>
      <c r="J123">
        <v>398</v>
      </c>
      <c r="K123">
        <v>58433</v>
      </c>
    </row>
    <row r="124" spans="1:11" x14ac:dyDescent="0.25">
      <c r="A124" t="s">
        <v>15</v>
      </c>
      <c r="B124" t="s">
        <v>54</v>
      </c>
      <c r="C124" t="s">
        <v>28</v>
      </c>
      <c r="D124" t="s">
        <v>21</v>
      </c>
      <c r="E124">
        <v>12</v>
      </c>
      <c r="F124" t="s">
        <v>33</v>
      </c>
      <c r="G124" cm="1">
        <f t="array" ref="G124">_xlfn.SWITCH(LOWER(TRIM(F124)),
"enero",1,
"febrero",2,
"marzo",3,
"abril",4,
"mayo",5,
"junio",6,
"julio",7,
"agosto",8,
"septiembre",9,
"octubre",10,
"noviembre",11,
"diciembre",12)</f>
        <v>1</v>
      </c>
      <c r="H124">
        <v>8599794</v>
      </c>
      <c r="I124">
        <v>147</v>
      </c>
      <c r="J124">
        <v>267</v>
      </c>
      <c r="K124">
        <v>58502</v>
      </c>
    </row>
    <row r="125" spans="1:11" x14ac:dyDescent="0.25">
      <c r="A125" t="s">
        <v>15</v>
      </c>
      <c r="B125" t="s">
        <v>34</v>
      </c>
      <c r="C125" t="s">
        <v>28</v>
      </c>
      <c r="D125" t="s">
        <v>13</v>
      </c>
      <c r="E125">
        <v>44</v>
      </c>
      <c r="F125" t="s">
        <v>33</v>
      </c>
      <c r="G125" cm="1">
        <f t="array" ref="G125">_xlfn.SWITCH(LOWER(TRIM(F125)),
"enero",1,
"febrero",2,
"marzo",3,
"abril",4,
"mayo",5,
"junio",6,
"julio",7,
"agosto",8,
"septiembre",9,
"octubre",10,
"noviembre",11,
"diciembre",12)</f>
        <v>1</v>
      </c>
      <c r="H125">
        <v>8448636</v>
      </c>
      <c r="I125">
        <v>138</v>
      </c>
      <c r="J125">
        <v>212</v>
      </c>
      <c r="K125">
        <v>61222</v>
      </c>
    </row>
    <row r="126" spans="1:11" x14ac:dyDescent="0.25">
      <c r="A126" t="s">
        <v>10</v>
      </c>
      <c r="B126" t="s">
        <v>51</v>
      </c>
      <c r="C126" t="s">
        <v>24</v>
      </c>
      <c r="D126" t="s">
        <v>21</v>
      </c>
      <c r="E126">
        <v>22</v>
      </c>
      <c r="F126" t="s">
        <v>60</v>
      </c>
      <c r="G126" cm="1">
        <f t="array" ref="G126">_xlfn.SWITCH(LOWER(TRIM(F126)),
"enero",1,
"febrero",2,
"marzo",3,
"abril",4,
"mayo",5,
"junio",6,
"julio",7,
"agosto",8,
"septiembre",9,
"octubre",10,
"noviembre",11,
"diciembre",12)</f>
        <v>4</v>
      </c>
      <c r="H126">
        <v>5471336</v>
      </c>
      <c r="I126">
        <v>104</v>
      </c>
      <c r="J126">
        <v>184</v>
      </c>
      <c r="K126">
        <v>52609</v>
      </c>
    </row>
    <row r="127" spans="1:11" x14ac:dyDescent="0.25">
      <c r="A127" t="s">
        <v>10</v>
      </c>
      <c r="B127" t="s">
        <v>59</v>
      </c>
      <c r="C127" t="s">
        <v>12</v>
      </c>
      <c r="D127" t="s">
        <v>25</v>
      </c>
      <c r="E127">
        <v>36</v>
      </c>
      <c r="F127" t="s">
        <v>30</v>
      </c>
      <c r="G127" cm="1">
        <f t="array" ref="G127">_xlfn.SWITCH(LOWER(TRIM(F127)),
"enero",1,
"febrero",2,
"marzo",3,
"abril",4,
"mayo",5,
"junio",6,
"julio",7,
"agosto",8,
"septiembre",9,
"octubre",10,
"noviembre",11,
"diciembre",12)</f>
        <v>10</v>
      </c>
      <c r="H127">
        <v>1892096</v>
      </c>
      <c r="I127">
        <v>32</v>
      </c>
      <c r="J127">
        <v>852</v>
      </c>
      <c r="K127">
        <v>59128</v>
      </c>
    </row>
    <row r="128" spans="1:11" x14ac:dyDescent="0.25">
      <c r="A128" t="s">
        <v>15</v>
      </c>
      <c r="B128" t="s">
        <v>59</v>
      </c>
      <c r="C128" t="s">
        <v>12</v>
      </c>
      <c r="D128" t="s">
        <v>25</v>
      </c>
      <c r="E128">
        <v>41</v>
      </c>
      <c r="F128" t="s">
        <v>14</v>
      </c>
      <c r="G128" cm="1">
        <f t="array" ref="G128">_xlfn.SWITCH(LOWER(TRIM(F128)),
"enero",1,
"febrero",2,
"marzo",3,
"abril",4,
"mayo",5,
"junio",6,
"julio",7,
"agosto",8,
"septiembre",9,
"octubre",10,
"noviembre",11,
"diciembre",12)</f>
        <v>8</v>
      </c>
      <c r="H128">
        <v>9029930</v>
      </c>
      <c r="I128">
        <v>182</v>
      </c>
      <c r="J128">
        <v>54</v>
      </c>
      <c r="K128">
        <v>49615</v>
      </c>
    </row>
    <row r="129" spans="1:11" x14ac:dyDescent="0.25">
      <c r="A129" t="s">
        <v>31</v>
      </c>
      <c r="B129" t="s">
        <v>32</v>
      </c>
      <c r="C129" t="s">
        <v>28</v>
      </c>
      <c r="D129" t="s">
        <v>17</v>
      </c>
      <c r="E129">
        <v>41</v>
      </c>
      <c r="F129" t="s">
        <v>45</v>
      </c>
      <c r="G129" cm="1">
        <f t="array" ref="G129">_xlfn.SWITCH(LOWER(TRIM(F129)),
"enero",1,
"febrero",2,
"marzo",3,
"abril",4,
"mayo",5,
"junio",6,
"julio",7,
"agosto",8,
"septiembre",9,
"octubre",10,
"noviembre",11,
"diciembre",12)</f>
        <v>2</v>
      </c>
      <c r="H129">
        <v>2886254</v>
      </c>
      <c r="I129">
        <v>58</v>
      </c>
      <c r="J129">
        <v>709</v>
      </c>
      <c r="K129">
        <v>49763</v>
      </c>
    </row>
    <row r="130" spans="1:11" x14ac:dyDescent="0.25">
      <c r="A130" t="s">
        <v>31</v>
      </c>
      <c r="B130" t="s">
        <v>55</v>
      </c>
      <c r="C130" t="s">
        <v>42</v>
      </c>
      <c r="D130" t="s">
        <v>21</v>
      </c>
      <c r="E130">
        <v>46</v>
      </c>
      <c r="F130" t="s">
        <v>26</v>
      </c>
      <c r="G130" cm="1">
        <f t="array" ref="G130">_xlfn.SWITCH(LOWER(TRIM(F130)),
"enero",1,
"febrero",2,
"marzo",3,
"abril",4,
"mayo",5,
"junio",6,
"julio",7,
"agosto",8,
"septiembre",9,
"octubre",10,
"noviembre",11,
"diciembre",12)</f>
        <v>9</v>
      </c>
      <c r="H130">
        <v>8565093</v>
      </c>
      <c r="I130">
        <v>153</v>
      </c>
      <c r="J130">
        <v>346</v>
      </c>
      <c r="K130">
        <v>55981</v>
      </c>
    </row>
    <row r="131" spans="1:11" x14ac:dyDescent="0.25">
      <c r="A131" t="s">
        <v>10</v>
      </c>
      <c r="B131" t="s">
        <v>59</v>
      </c>
      <c r="C131" t="s">
        <v>12</v>
      </c>
      <c r="D131" t="s">
        <v>25</v>
      </c>
      <c r="E131">
        <v>40</v>
      </c>
      <c r="F131" t="s">
        <v>45</v>
      </c>
      <c r="G131" cm="1">
        <f t="array" ref="G131">_xlfn.SWITCH(LOWER(TRIM(F131)),
"enero",1,
"febrero",2,
"marzo",3,
"abril",4,
"mayo",5,
"junio",6,
"julio",7,
"agosto",8,
"septiembre",9,
"octubre",10,
"noviembre",11,
"diciembre",12)</f>
        <v>2</v>
      </c>
      <c r="H131">
        <v>1414800</v>
      </c>
      <c r="I131">
        <v>40</v>
      </c>
      <c r="J131">
        <v>872</v>
      </c>
      <c r="K131">
        <v>35370</v>
      </c>
    </row>
    <row r="132" spans="1:11" x14ac:dyDescent="0.25">
      <c r="A132" t="s">
        <v>37</v>
      </c>
      <c r="B132" t="s">
        <v>16</v>
      </c>
      <c r="C132" t="s">
        <v>12</v>
      </c>
      <c r="D132" t="s">
        <v>17</v>
      </c>
      <c r="E132">
        <v>27</v>
      </c>
      <c r="F132" t="s">
        <v>33</v>
      </c>
      <c r="G132" cm="1">
        <f t="array" ref="G132">_xlfn.SWITCH(LOWER(TRIM(F132)),
"enero",1,
"febrero",2,
"marzo",3,
"abril",4,
"mayo",5,
"junio",6,
"julio",7,
"agosto",8,
"septiembre",9,
"octubre",10,
"noviembre",11,
"diciembre",12)</f>
        <v>1</v>
      </c>
      <c r="H132">
        <v>2797960</v>
      </c>
      <c r="I132">
        <v>55</v>
      </c>
      <c r="J132">
        <v>206</v>
      </c>
      <c r="K132">
        <v>50872</v>
      </c>
    </row>
    <row r="133" spans="1:11" x14ac:dyDescent="0.25">
      <c r="A133" t="s">
        <v>37</v>
      </c>
      <c r="B133" t="s">
        <v>32</v>
      </c>
      <c r="C133" t="s">
        <v>28</v>
      </c>
      <c r="D133" t="s">
        <v>17</v>
      </c>
      <c r="E133">
        <v>40</v>
      </c>
      <c r="F133" t="s">
        <v>46</v>
      </c>
      <c r="G133" cm="1">
        <f t="array" ref="G133">_xlfn.SWITCH(LOWER(TRIM(F133)),
"enero",1,
"febrero",2,
"marzo",3,
"abril",4,
"mayo",5,
"junio",6,
"julio",7,
"agosto",8,
"septiembre",9,
"octubre",10,
"noviembre",11,
"diciembre",12)</f>
        <v>3</v>
      </c>
      <c r="H133">
        <v>2354749</v>
      </c>
      <c r="I133">
        <v>59</v>
      </c>
      <c r="J133">
        <v>306</v>
      </c>
      <c r="K133">
        <v>39911</v>
      </c>
    </row>
    <row r="134" spans="1:11" x14ac:dyDescent="0.25">
      <c r="A134" t="s">
        <v>10</v>
      </c>
      <c r="B134" t="s">
        <v>32</v>
      </c>
      <c r="C134" t="s">
        <v>28</v>
      </c>
      <c r="D134" t="s">
        <v>17</v>
      </c>
      <c r="E134">
        <v>23</v>
      </c>
      <c r="F134" t="s">
        <v>14</v>
      </c>
      <c r="G134" cm="1">
        <f t="array" ref="G134">_xlfn.SWITCH(LOWER(TRIM(F134)),
"enero",1,
"febrero",2,
"marzo",3,
"abril",4,
"mayo",5,
"junio",6,
"julio",7,
"agosto",8,
"septiembre",9,
"octubre",10,
"noviembre",11,
"diciembre",12)</f>
        <v>8</v>
      </c>
      <c r="H134">
        <v>7044336</v>
      </c>
      <c r="I134">
        <v>117</v>
      </c>
      <c r="J134">
        <v>16</v>
      </c>
      <c r="K134">
        <v>60208</v>
      </c>
    </row>
    <row r="135" spans="1:11" x14ac:dyDescent="0.25">
      <c r="A135" t="s">
        <v>37</v>
      </c>
      <c r="B135" t="s">
        <v>53</v>
      </c>
      <c r="C135" t="s">
        <v>24</v>
      </c>
      <c r="D135" t="s">
        <v>29</v>
      </c>
      <c r="E135">
        <v>47</v>
      </c>
      <c r="F135" t="s">
        <v>39</v>
      </c>
      <c r="G135" cm="1">
        <f t="array" ref="G135">_xlfn.SWITCH(LOWER(TRIM(F135)),
"enero",1,
"febrero",2,
"marzo",3,
"abril",4,
"mayo",5,
"junio",6,
"julio",7,
"agosto",8,
"septiembre",9,
"octubre",10,
"noviembre",11,
"diciembre",12)</f>
        <v>12</v>
      </c>
      <c r="H135">
        <v>7547502</v>
      </c>
      <c r="I135">
        <v>158</v>
      </c>
      <c r="J135">
        <v>51</v>
      </c>
      <c r="K135">
        <v>47769</v>
      </c>
    </row>
    <row r="136" spans="1:11" x14ac:dyDescent="0.25">
      <c r="A136" t="s">
        <v>15</v>
      </c>
      <c r="B136" t="s">
        <v>38</v>
      </c>
      <c r="C136" t="s">
        <v>20</v>
      </c>
      <c r="D136" t="s">
        <v>25</v>
      </c>
      <c r="E136">
        <v>37</v>
      </c>
      <c r="F136" t="s">
        <v>33</v>
      </c>
      <c r="G136" cm="1">
        <f t="array" ref="G136">_xlfn.SWITCH(LOWER(TRIM(F136)),
"enero",1,
"febrero",2,
"marzo",3,
"abril",4,
"mayo",5,
"junio",6,
"julio",7,
"agosto",8,
"septiembre",9,
"octubre",10,
"noviembre",11,
"diciembre",12)</f>
        <v>1</v>
      </c>
      <c r="H136">
        <v>3224710</v>
      </c>
      <c r="I136">
        <v>67</v>
      </c>
      <c r="J136">
        <v>888</v>
      </c>
      <c r="K136">
        <v>48130</v>
      </c>
    </row>
    <row r="137" spans="1:11" x14ac:dyDescent="0.25">
      <c r="A137" t="s">
        <v>31</v>
      </c>
      <c r="B137" t="s">
        <v>11</v>
      </c>
      <c r="C137" t="s">
        <v>12</v>
      </c>
      <c r="D137" t="s">
        <v>13</v>
      </c>
      <c r="E137">
        <v>43</v>
      </c>
      <c r="F137" t="s">
        <v>60</v>
      </c>
      <c r="G137" cm="1">
        <f t="array" ref="G137">_xlfn.SWITCH(LOWER(TRIM(F137)),
"enero",1,
"febrero",2,
"marzo",3,
"abril",4,
"mayo",5,
"junio",6,
"julio",7,
"agosto",8,
"septiembre",9,
"octubre",10,
"noviembre",11,
"diciembre",12)</f>
        <v>4</v>
      </c>
      <c r="H137">
        <v>8906688</v>
      </c>
      <c r="I137">
        <v>188</v>
      </c>
      <c r="J137">
        <v>210</v>
      </c>
      <c r="K137">
        <v>47376</v>
      </c>
    </row>
    <row r="138" spans="1:11" x14ac:dyDescent="0.25">
      <c r="A138" t="s">
        <v>15</v>
      </c>
      <c r="B138" t="s">
        <v>48</v>
      </c>
      <c r="C138" t="s">
        <v>20</v>
      </c>
      <c r="D138" t="s">
        <v>13</v>
      </c>
      <c r="E138">
        <v>2</v>
      </c>
      <c r="F138" t="s">
        <v>49</v>
      </c>
      <c r="G138" cm="1">
        <f t="array" ref="G138">_xlfn.SWITCH(LOWER(TRIM(F138)),
"enero",1,
"febrero",2,
"marzo",3,
"abril",4,
"mayo",5,
"junio",6,
"julio",7,
"agosto",8,
"septiembre",9,
"octubre",10,
"noviembre",11,
"diciembre",12)</f>
        <v>11</v>
      </c>
      <c r="H138">
        <v>9026109</v>
      </c>
      <c r="I138">
        <v>183</v>
      </c>
      <c r="J138">
        <v>449</v>
      </c>
      <c r="K138">
        <v>49323</v>
      </c>
    </row>
    <row r="139" spans="1:11" x14ac:dyDescent="0.25">
      <c r="A139" t="s">
        <v>18</v>
      </c>
      <c r="B139" t="s">
        <v>44</v>
      </c>
      <c r="C139" t="s">
        <v>42</v>
      </c>
      <c r="D139" t="s">
        <v>13</v>
      </c>
      <c r="E139">
        <v>33</v>
      </c>
      <c r="F139" t="s">
        <v>22</v>
      </c>
      <c r="G139" cm="1">
        <f t="array" ref="G139">_xlfn.SWITCH(LOWER(TRIM(F139)),
"enero",1,
"febrero",2,
"marzo",3,
"abril",4,
"mayo",5,
"junio",6,
"julio",7,
"agosto",8,
"septiembre",9,
"octubre",10,
"noviembre",11,
"diciembre",12)</f>
        <v>7</v>
      </c>
      <c r="H139">
        <v>7365654</v>
      </c>
      <c r="I139">
        <v>162</v>
      </c>
      <c r="J139">
        <v>720</v>
      </c>
      <c r="K139">
        <v>45467</v>
      </c>
    </row>
    <row r="140" spans="1:11" x14ac:dyDescent="0.25">
      <c r="A140" t="s">
        <v>31</v>
      </c>
      <c r="B140" t="s">
        <v>47</v>
      </c>
      <c r="C140" t="s">
        <v>42</v>
      </c>
      <c r="D140" t="s">
        <v>29</v>
      </c>
      <c r="E140">
        <v>6</v>
      </c>
      <c r="F140" t="s">
        <v>39</v>
      </c>
      <c r="G140" cm="1">
        <f t="array" ref="G140">_xlfn.SWITCH(LOWER(TRIM(F140)),
"enero",1,
"febrero",2,
"marzo",3,
"abril",4,
"mayo",5,
"junio",6,
"julio",7,
"agosto",8,
"septiembre",9,
"octubre",10,
"noviembre",11,
"diciembre",12)</f>
        <v>12</v>
      </c>
      <c r="H140">
        <v>2843776</v>
      </c>
      <c r="I140">
        <v>52</v>
      </c>
      <c r="J140">
        <v>399</v>
      </c>
      <c r="K140">
        <v>54688</v>
      </c>
    </row>
    <row r="141" spans="1:11" x14ac:dyDescent="0.25">
      <c r="A141" t="s">
        <v>37</v>
      </c>
      <c r="B141" t="s">
        <v>47</v>
      </c>
      <c r="C141" t="s">
        <v>42</v>
      </c>
      <c r="D141" t="s">
        <v>29</v>
      </c>
      <c r="E141">
        <v>37</v>
      </c>
      <c r="F141" t="s">
        <v>14</v>
      </c>
      <c r="G141" cm="1">
        <f t="array" ref="G141">_xlfn.SWITCH(LOWER(TRIM(F141)),
"enero",1,
"febrero",2,
"marzo",3,
"abril",4,
"mayo",5,
"junio",6,
"julio",7,
"agosto",8,
"septiembre",9,
"octubre",10,
"noviembre",11,
"diciembre",12)</f>
        <v>8</v>
      </c>
      <c r="H141">
        <v>3552809</v>
      </c>
      <c r="I141">
        <v>67</v>
      </c>
      <c r="J141">
        <v>747</v>
      </c>
      <c r="K141">
        <v>53027</v>
      </c>
    </row>
    <row r="142" spans="1:11" x14ac:dyDescent="0.25">
      <c r="A142" t="s">
        <v>18</v>
      </c>
      <c r="B142" t="s">
        <v>41</v>
      </c>
      <c r="C142" t="s">
        <v>42</v>
      </c>
      <c r="D142" t="s">
        <v>25</v>
      </c>
      <c r="E142">
        <v>49</v>
      </c>
      <c r="F142" t="s">
        <v>22</v>
      </c>
      <c r="G142" cm="1">
        <f t="array" ref="G142">_xlfn.SWITCH(LOWER(TRIM(F142)),
"enero",1,
"febrero",2,
"marzo",3,
"abril",4,
"mayo",5,
"junio",6,
"julio",7,
"agosto",8,
"septiembre",9,
"octubre",10,
"noviembre",11,
"diciembre",12)</f>
        <v>7</v>
      </c>
      <c r="H142">
        <v>7139568</v>
      </c>
      <c r="I142">
        <v>184</v>
      </c>
      <c r="J142">
        <v>473</v>
      </c>
      <c r="K142">
        <v>38802</v>
      </c>
    </row>
    <row r="143" spans="1:11" x14ac:dyDescent="0.25">
      <c r="A143" t="s">
        <v>37</v>
      </c>
      <c r="B143" t="s">
        <v>50</v>
      </c>
      <c r="C143" t="s">
        <v>20</v>
      </c>
      <c r="D143" t="s">
        <v>17</v>
      </c>
      <c r="E143">
        <v>29</v>
      </c>
      <c r="F143" t="s">
        <v>49</v>
      </c>
      <c r="G143" cm="1">
        <f t="array" ref="G143">_xlfn.SWITCH(LOWER(TRIM(F143)),
"enero",1,
"febrero",2,
"marzo",3,
"abril",4,
"mayo",5,
"junio",6,
"julio",7,
"agosto",8,
"septiembre",9,
"octubre",10,
"noviembre",11,
"diciembre",12)</f>
        <v>11</v>
      </c>
      <c r="H143">
        <v>6007968</v>
      </c>
      <c r="I143">
        <v>138</v>
      </c>
      <c r="J143">
        <v>476</v>
      </c>
      <c r="K143">
        <v>43536</v>
      </c>
    </row>
    <row r="144" spans="1:11" x14ac:dyDescent="0.25">
      <c r="A144" t="s">
        <v>18</v>
      </c>
      <c r="B144" t="s">
        <v>32</v>
      </c>
      <c r="C144" t="s">
        <v>28</v>
      </c>
      <c r="D144" t="s">
        <v>17</v>
      </c>
      <c r="E144">
        <v>1</v>
      </c>
      <c r="F144" t="s">
        <v>35</v>
      </c>
      <c r="G144" cm="1">
        <f t="array" ref="G144">_xlfn.SWITCH(LOWER(TRIM(F144)),
"enero",1,
"febrero",2,
"marzo",3,
"abril",4,
"mayo",5,
"junio",6,
"julio",7,
"agosto",8,
"septiembre",9,
"octubre",10,
"noviembre",11,
"diciembre",12)</f>
        <v>6</v>
      </c>
      <c r="H144">
        <v>7705714</v>
      </c>
      <c r="I144">
        <v>167</v>
      </c>
      <c r="J144">
        <v>445</v>
      </c>
      <c r="K144">
        <v>46142</v>
      </c>
    </row>
    <row r="145" spans="1:11" x14ac:dyDescent="0.25">
      <c r="A145" t="s">
        <v>31</v>
      </c>
      <c r="B145" t="s">
        <v>57</v>
      </c>
      <c r="C145" t="s">
        <v>42</v>
      </c>
      <c r="D145" t="s">
        <v>17</v>
      </c>
      <c r="E145">
        <v>20</v>
      </c>
      <c r="F145" t="s">
        <v>33</v>
      </c>
      <c r="G145" cm="1">
        <f t="array" ref="G145">_xlfn.SWITCH(LOWER(TRIM(F145)),
"enero",1,
"febrero",2,
"marzo",3,
"abril",4,
"mayo",5,
"junio",6,
"julio",7,
"agosto",8,
"septiembre",9,
"octubre",10,
"noviembre",11,
"diciembre",12)</f>
        <v>1</v>
      </c>
      <c r="H145">
        <v>4525040</v>
      </c>
      <c r="I145">
        <v>80</v>
      </c>
      <c r="J145">
        <v>75</v>
      </c>
      <c r="K145">
        <v>56563</v>
      </c>
    </row>
    <row r="146" spans="1:11" x14ac:dyDescent="0.25">
      <c r="A146" t="s">
        <v>31</v>
      </c>
      <c r="B146" t="s">
        <v>57</v>
      </c>
      <c r="C146" t="s">
        <v>42</v>
      </c>
      <c r="D146" t="s">
        <v>17</v>
      </c>
      <c r="E146">
        <v>11</v>
      </c>
      <c r="F146" t="s">
        <v>45</v>
      </c>
      <c r="G146" cm="1">
        <f t="array" ref="G146">_xlfn.SWITCH(LOWER(TRIM(F146)),
"enero",1,
"febrero",2,
"marzo",3,
"abril",4,
"mayo",5,
"junio",6,
"julio",7,
"agosto",8,
"septiembre",9,
"octubre",10,
"noviembre",11,
"diciembre",12)</f>
        <v>2</v>
      </c>
      <c r="H146">
        <v>8561088</v>
      </c>
      <c r="I146">
        <v>167</v>
      </c>
      <c r="J146">
        <v>565</v>
      </c>
      <c r="K146">
        <v>51264</v>
      </c>
    </row>
    <row r="147" spans="1:11" x14ac:dyDescent="0.25">
      <c r="A147" t="s">
        <v>18</v>
      </c>
      <c r="B147" t="s">
        <v>53</v>
      </c>
      <c r="C147" t="s">
        <v>24</v>
      </c>
      <c r="D147" t="s">
        <v>29</v>
      </c>
      <c r="E147">
        <v>12</v>
      </c>
      <c r="F147" t="s">
        <v>43</v>
      </c>
      <c r="G147" cm="1">
        <f t="array" ref="G147">_xlfn.SWITCH(LOWER(TRIM(F147)),
"enero",1,
"febrero",2,
"marzo",3,
"abril",4,
"mayo",5,
"junio",6,
"julio",7,
"agosto",8,
"septiembre",9,
"octubre",10,
"noviembre",11,
"diciembre",12)</f>
        <v>5</v>
      </c>
      <c r="H147">
        <v>5987418</v>
      </c>
      <c r="I147">
        <v>113</v>
      </c>
      <c r="J147">
        <v>665</v>
      </c>
      <c r="K147">
        <v>52986</v>
      </c>
    </row>
    <row r="148" spans="1:11" x14ac:dyDescent="0.25">
      <c r="A148" t="s">
        <v>31</v>
      </c>
      <c r="B148" t="s">
        <v>40</v>
      </c>
      <c r="C148" t="s">
        <v>12</v>
      </c>
      <c r="D148" t="s">
        <v>29</v>
      </c>
      <c r="E148">
        <v>45</v>
      </c>
      <c r="F148" t="s">
        <v>49</v>
      </c>
      <c r="G148" cm="1">
        <f t="array" ref="G148">_xlfn.SWITCH(LOWER(TRIM(F148)),
"enero",1,
"febrero",2,
"marzo",3,
"abril",4,
"mayo",5,
"junio",6,
"julio",7,
"agosto",8,
"septiembre",9,
"octubre",10,
"noviembre",11,
"diciembre",12)</f>
        <v>11</v>
      </c>
      <c r="H148">
        <v>8844852</v>
      </c>
      <c r="I148">
        <v>159</v>
      </c>
      <c r="J148">
        <v>141</v>
      </c>
      <c r="K148">
        <v>55628</v>
      </c>
    </row>
    <row r="149" spans="1:11" x14ac:dyDescent="0.25">
      <c r="A149" t="s">
        <v>37</v>
      </c>
      <c r="B149" t="s">
        <v>57</v>
      </c>
      <c r="C149" t="s">
        <v>42</v>
      </c>
      <c r="D149" t="s">
        <v>17</v>
      </c>
      <c r="E149">
        <v>15</v>
      </c>
      <c r="F149" t="s">
        <v>49</v>
      </c>
      <c r="G149" cm="1">
        <f t="array" ref="G149">_xlfn.SWITCH(LOWER(TRIM(F149)),
"enero",1,
"febrero",2,
"marzo",3,
"abril",4,
"mayo",5,
"junio",6,
"julio",7,
"agosto",8,
"septiembre",9,
"octubre",10,
"noviembre",11,
"diciembre",12)</f>
        <v>11</v>
      </c>
      <c r="H149">
        <v>2048896</v>
      </c>
      <c r="I149">
        <v>32</v>
      </c>
      <c r="J149">
        <v>505</v>
      </c>
      <c r="K149">
        <v>64028</v>
      </c>
    </row>
    <row r="150" spans="1:11" x14ac:dyDescent="0.25">
      <c r="A150" t="s">
        <v>10</v>
      </c>
      <c r="B150" t="s">
        <v>58</v>
      </c>
      <c r="C150" t="s">
        <v>12</v>
      </c>
      <c r="D150" t="s">
        <v>21</v>
      </c>
      <c r="E150">
        <v>2</v>
      </c>
      <c r="F150" t="s">
        <v>30</v>
      </c>
      <c r="G150" cm="1">
        <f t="array" ref="G150">_xlfn.SWITCH(LOWER(TRIM(F150)),
"enero",1,
"febrero",2,
"marzo",3,
"abril",4,
"mayo",5,
"junio",6,
"julio",7,
"agosto",8,
"septiembre",9,
"octubre",10,
"noviembre",11,
"diciembre",12)</f>
        <v>10</v>
      </c>
      <c r="H150">
        <v>3404754</v>
      </c>
      <c r="I150">
        <v>54</v>
      </c>
      <c r="J150">
        <v>56</v>
      </c>
      <c r="K150">
        <v>63051</v>
      </c>
    </row>
    <row r="151" spans="1:11" x14ac:dyDescent="0.25">
      <c r="A151" t="s">
        <v>15</v>
      </c>
      <c r="B151" t="s">
        <v>54</v>
      </c>
      <c r="C151" t="s">
        <v>28</v>
      </c>
      <c r="D151" t="s">
        <v>21</v>
      </c>
      <c r="E151">
        <v>16</v>
      </c>
      <c r="F151" t="s">
        <v>33</v>
      </c>
      <c r="G151" cm="1">
        <f t="array" ref="G151">_xlfn.SWITCH(LOWER(TRIM(F151)),
"enero",1,
"febrero",2,
"marzo",3,
"abril",4,
"mayo",5,
"junio",6,
"julio",7,
"agosto",8,
"septiembre",9,
"octubre",10,
"noviembre",11,
"diciembre",12)</f>
        <v>1</v>
      </c>
      <c r="H151">
        <v>8599652</v>
      </c>
      <c r="I151">
        <v>139</v>
      </c>
      <c r="J151">
        <v>546</v>
      </c>
      <c r="K151">
        <v>61868</v>
      </c>
    </row>
    <row r="152" spans="1:11" x14ac:dyDescent="0.25">
      <c r="A152" t="s">
        <v>31</v>
      </c>
      <c r="B152" t="s">
        <v>11</v>
      </c>
      <c r="C152" t="s">
        <v>12</v>
      </c>
      <c r="D152" t="s">
        <v>13</v>
      </c>
      <c r="E152">
        <v>6</v>
      </c>
      <c r="F152" t="s">
        <v>22</v>
      </c>
      <c r="G152" cm="1">
        <f t="array" ref="G152">_xlfn.SWITCH(LOWER(TRIM(F152)),
"enero",1,
"febrero",2,
"marzo",3,
"abril",4,
"mayo",5,
"junio",6,
"julio",7,
"agosto",8,
"septiembre",9,
"octubre",10,
"noviembre",11,
"diciembre",12)</f>
        <v>7</v>
      </c>
      <c r="H152">
        <v>7885350</v>
      </c>
      <c r="I152">
        <v>198</v>
      </c>
      <c r="J152">
        <v>391</v>
      </c>
      <c r="K152">
        <v>39825</v>
      </c>
    </row>
    <row r="153" spans="1:11" x14ac:dyDescent="0.25">
      <c r="A153" t="s">
        <v>10</v>
      </c>
      <c r="B153" t="s">
        <v>34</v>
      </c>
      <c r="C153" t="s">
        <v>28</v>
      </c>
      <c r="D153" t="s">
        <v>13</v>
      </c>
      <c r="E153">
        <v>31</v>
      </c>
      <c r="F153" t="s">
        <v>22</v>
      </c>
      <c r="G153" cm="1">
        <f t="array" ref="G153">_xlfn.SWITCH(LOWER(TRIM(F153)),
"enero",1,
"febrero",2,
"marzo",3,
"abril",4,
"mayo",5,
"junio",6,
"julio",7,
"agosto",8,
"septiembre",9,
"octubre",10,
"noviembre",11,
"diciembre",12)</f>
        <v>7</v>
      </c>
      <c r="H153">
        <v>4762550</v>
      </c>
      <c r="I153">
        <v>85</v>
      </c>
      <c r="J153">
        <v>618</v>
      </c>
      <c r="K153">
        <v>56030</v>
      </c>
    </row>
    <row r="154" spans="1:11" x14ac:dyDescent="0.25">
      <c r="A154" t="s">
        <v>15</v>
      </c>
      <c r="B154" t="s">
        <v>32</v>
      </c>
      <c r="C154" t="s">
        <v>28</v>
      </c>
      <c r="D154" t="s">
        <v>17</v>
      </c>
      <c r="E154">
        <v>12</v>
      </c>
      <c r="F154" t="s">
        <v>35</v>
      </c>
      <c r="G154" cm="1">
        <f t="array" ref="G154">_xlfn.SWITCH(LOWER(TRIM(F154)),
"enero",1,
"febrero",2,
"marzo",3,
"abril",4,
"mayo",5,
"junio",6,
"julio",7,
"agosto",8,
"septiembre",9,
"octubre",10,
"noviembre",11,
"diciembre",12)</f>
        <v>6</v>
      </c>
      <c r="H154">
        <v>4253143</v>
      </c>
      <c r="I154">
        <v>107</v>
      </c>
      <c r="J154">
        <v>222</v>
      </c>
      <c r="K154">
        <v>39749</v>
      </c>
    </row>
    <row r="155" spans="1:11" x14ac:dyDescent="0.25">
      <c r="A155" t="s">
        <v>18</v>
      </c>
      <c r="B155" t="s">
        <v>58</v>
      </c>
      <c r="C155" t="s">
        <v>12</v>
      </c>
      <c r="D155" t="s">
        <v>21</v>
      </c>
      <c r="E155">
        <v>27</v>
      </c>
      <c r="F155" t="s">
        <v>45</v>
      </c>
      <c r="G155" cm="1">
        <f t="array" ref="G155">_xlfn.SWITCH(LOWER(TRIM(F155)),
"enero",1,
"febrero",2,
"marzo",3,
"abril",4,
"mayo",5,
"junio",6,
"julio",7,
"agosto",8,
"septiembre",9,
"octubre",10,
"noviembre",11,
"diciembre",12)</f>
        <v>2</v>
      </c>
      <c r="H155">
        <v>4482390</v>
      </c>
      <c r="I155">
        <v>94</v>
      </c>
      <c r="J155">
        <v>641</v>
      </c>
      <c r="K155">
        <v>47685</v>
      </c>
    </row>
    <row r="156" spans="1:11" x14ac:dyDescent="0.25">
      <c r="A156" t="s">
        <v>37</v>
      </c>
      <c r="B156" t="s">
        <v>53</v>
      </c>
      <c r="C156" t="s">
        <v>24</v>
      </c>
      <c r="D156" t="s">
        <v>29</v>
      </c>
      <c r="E156">
        <v>25</v>
      </c>
      <c r="F156" t="s">
        <v>46</v>
      </c>
      <c r="G156" cm="1">
        <f t="array" ref="G156">_xlfn.SWITCH(LOWER(TRIM(F156)),
"enero",1,
"febrero",2,
"marzo",3,
"abril",4,
"mayo",5,
"junio",6,
"julio",7,
"agosto",8,
"septiembre",9,
"octubre",10,
"noviembre",11,
"diciembre",12)</f>
        <v>3</v>
      </c>
      <c r="H156">
        <v>5468278</v>
      </c>
      <c r="I156">
        <v>142</v>
      </c>
      <c r="J156">
        <v>381</v>
      </c>
      <c r="K156">
        <v>38509</v>
      </c>
    </row>
    <row r="157" spans="1:11" x14ac:dyDescent="0.25">
      <c r="A157" t="s">
        <v>15</v>
      </c>
      <c r="B157" t="s">
        <v>27</v>
      </c>
      <c r="C157" t="s">
        <v>28</v>
      </c>
      <c r="D157" t="s">
        <v>29</v>
      </c>
      <c r="E157">
        <v>39</v>
      </c>
      <c r="F157" t="s">
        <v>26</v>
      </c>
      <c r="G157" cm="1">
        <f t="array" ref="G157">_xlfn.SWITCH(LOWER(TRIM(F157)),
"enero",1,
"febrero",2,
"marzo",3,
"abril",4,
"mayo",5,
"junio",6,
"julio",7,
"agosto",8,
"septiembre",9,
"octubre",10,
"noviembre",11,
"diciembre",12)</f>
        <v>9</v>
      </c>
      <c r="H157">
        <v>4945946</v>
      </c>
      <c r="I157">
        <v>86</v>
      </c>
      <c r="J157">
        <v>352</v>
      </c>
      <c r="K157">
        <v>57511</v>
      </c>
    </row>
    <row r="158" spans="1:11" x14ac:dyDescent="0.25">
      <c r="A158" t="s">
        <v>18</v>
      </c>
      <c r="B158" t="s">
        <v>53</v>
      </c>
      <c r="C158" t="s">
        <v>24</v>
      </c>
      <c r="D158" t="s">
        <v>29</v>
      </c>
      <c r="E158">
        <v>25</v>
      </c>
      <c r="F158" t="s">
        <v>30</v>
      </c>
      <c r="G158" cm="1">
        <f t="array" ref="G158">_xlfn.SWITCH(LOWER(TRIM(F158)),
"enero",1,
"febrero",2,
"marzo",3,
"abril",4,
"mayo",5,
"junio",6,
"julio",7,
"agosto",8,
"septiembre",9,
"octubre",10,
"noviembre",11,
"diciembre",12)</f>
        <v>10</v>
      </c>
      <c r="H158">
        <v>7548576</v>
      </c>
      <c r="I158">
        <v>188</v>
      </c>
      <c r="J158">
        <v>508</v>
      </c>
      <c r="K158">
        <v>40152</v>
      </c>
    </row>
    <row r="159" spans="1:11" x14ac:dyDescent="0.25">
      <c r="A159" t="s">
        <v>15</v>
      </c>
      <c r="B159" t="s">
        <v>51</v>
      </c>
      <c r="C159" t="s">
        <v>24</v>
      </c>
      <c r="D159" t="s">
        <v>21</v>
      </c>
      <c r="E159">
        <v>36</v>
      </c>
      <c r="F159" t="s">
        <v>30</v>
      </c>
      <c r="G159" cm="1">
        <f t="array" ref="G159">_xlfn.SWITCH(LOWER(TRIM(F159)),
"enero",1,
"febrero",2,
"marzo",3,
"abril",4,
"mayo",5,
"junio",6,
"julio",7,
"agosto",8,
"septiembre",9,
"octubre",10,
"noviembre",11,
"diciembre",12)</f>
        <v>10</v>
      </c>
      <c r="H159">
        <v>5193285</v>
      </c>
      <c r="I159">
        <v>115</v>
      </c>
      <c r="J159">
        <v>444</v>
      </c>
      <c r="K159">
        <v>45159</v>
      </c>
    </row>
    <row r="160" spans="1:11" x14ac:dyDescent="0.25">
      <c r="A160" t="s">
        <v>10</v>
      </c>
      <c r="B160" t="s">
        <v>61</v>
      </c>
      <c r="C160" t="s">
        <v>28</v>
      </c>
      <c r="D160" t="s">
        <v>25</v>
      </c>
      <c r="E160">
        <v>3</v>
      </c>
      <c r="F160" t="s">
        <v>33</v>
      </c>
      <c r="G160" cm="1">
        <f t="array" ref="G160">_xlfn.SWITCH(LOWER(TRIM(F160)),
"enero",1,
"febrero",2,
"marzo",3,
"abril",4,
"mayo",5,
"junio",6,
"julio",7,
"agosto",8,
"septiembre",9,
"octubre",10,
"noviembre",11,
"diciembre",12)</f>
        <v>1</v>
      </c>
      <c r="H160">
        <v>3247145</v>
      </c>
      <c r="I160">
        <v>55</v>
      </c>
      <c r="J160">
        <v>172</v>
      </c>
      <c r="K160">
        <v>59039</v>
      </c>
    </row>
    <row r="161" spans="1:11" x14ac:dyDescent="0.25">
      <c r="A161" t="s">
        <v>37</v>
      </c>
      <c r="B161" t="s">
        <v>50</v>
      </c>
      <c r="C161" t="s">
        <v>20</v>
      </c>
      <c r="D161" t="s">
        <v>17</v>
      </c>
      <c r="E161">
        <v>38</v>
      </c>
      <c r="F161" t="s">
        <v>30</v>
      </c>
      <c r="G161" cm="1">
        <f t="array" ref="G161">_xlfn.SWITCH(LOWER(TRIM(F161)),
"enero",1,
"febrero",2,
"marzo",3,
"abril",4,
"mayo",5,
"junio",6,
"julio",7,
"agosto",8,
"septiembre",9,
"octubre",10,
"noviembre",11,
"diciembre",12)</f>
        <v>10</v>
      </c>
      <c r="H161">
        <v>1657320</v>
      </c>
      <c r="I161">
        <v>42</v>
      </c>
      <c r="J161">
        <v>194</v>
      </c>
      <c r="K161">
        <v>39460</v>
      </c>
    </row>
    <row r="162" spans="1:11" x14ac:dyDescent="0.25">
      <c r="A162" t="s">
        <v>18</v>
      </c>
      <c r="B162" t="s">
        <v>50</v>
      </c>
      <c r="C162" t="s">
        <v>20</v>
      </c>
      <c r="D162" t="s">
        <v>17</v>
      </c>
      <c r="E162">
        <v>18</v>
      </c>
      <c r="F162" t="s">
        <v>30</v>
      </c>
      <c r="G162" cm="1">
        <f t="array" ref="G162">_xlfn.SWITCH(LOWER(TRIM(F162)),
"enero",1,
"febrero",2,
"marzo",3,
"abril",4,
"mayo",5,
"junio",6,
"julio",7,
"agosto",8,
"septiembre",9,
"octubre",10,
"noviembre",11,
"diciembre",12)</f>
        <v>10</v>
      </c>
      <c r="H162">
        <v>4372560</v>
      </c>
      <c r="I162">
        <v>120</v>
      </c>
      <c r="J162">
        <v>879</v>
      </c>
      <c r="K162">
        <v>36438</v>
      </c>
    </row>
    <row r="163" spans="1:11" x14ac:dyDescent="0.25">
      <c r="A163" t="s">
        <v>10</v>
      </c>
      <c r="B163" t="s">
        <v>48</v>
      </c>
      <c r="C163" t="s">
        <v>20</v>
      </c>
      <c r="D163" t="s">
        <v>13</v>
      </c>
      <c r="E163">
        <v>48</v>
      </c>
      <c r="F163" t="s">
        <v>43</v>
      </c>
      <c r="G163" cm="1">
        <f t="array" ref="G163">_xlfn.SWITCH(LOWER(TRIM(F163)),
"enero",1,
"febrero",2,
"marzo",3,
"abril",4,
"mayo",5,
"junio",6,
"julio",7,
"agosto",8,
"septiembre",9,
"octubre",10,
"noviembre",11,
"diciembre",12)</f>
        <v>5</v>
      </c>
      <c r="H163">
        <v>5812722</v>
      </c>
      <c r="I163">
        <v>106</v>
      </c>
      <c r="J163">
        <v>702</v>
      </c>
      <c r="K163">
        <v>54837</v>
      </c>
    </row>
    <row r="164" spans="1:11" x14ac:dyDescent="0.25">
      <c r="A164" t="s">
        <v>37</v>
      </c>
      <c r="B164" t="s">
        <v>34</v>
      </c>
      <c r="C164" t="s">
        <v>28</v>
      </c>
      <c r="D164" t="s">
        <v>13</v>
      </c>
      <c r="E164">
        <v>41</v>
      </c>
      <c r="F164" t="s">
        <v>39</v>
      </c>
      <c r="G164" cm="1">
        <f t="array" ref="G164">_xlfn.SWITCH(LOWER(TRIM(F164)),
"enero",1,
"febrero",2,
"marzo",3,
"abril",4,
"mayo",5,
"junio",6,
"julio",7,
"agosto",8,
"septiembre",9,
"octubre",10,
"noviembre",11,
"diciembre",12)</f>
        <v>12</v>
      </c>
      <c r="H164">
        <v>8105776</v>
      </c>
      <c r="I164">
        <v>196</v>
      </c>
      <c r="J164">
        <v>879</v>
      </c>
      <c r="K164">
        <v>41356</v>
      </c>
    </row>
    <row r="165" spans="1:11" x14ac:dyDescent="0.25">
      <c r="A165" t="s">
        <v>18</v>
      </c>
      <c r="B165" t="s">
        <v>47</v>
      </c>
      <c r="C165" t="s">
        <v>42</v>
      </c>
      <c r="D165" t="s">
        <v>29</v>
      </c>
      <c r="E165">
        <v>10</v>
      </c>
      <c r="F165" t="s">
        <v>43</v>
      </c>
      <c r="G165" cm="1">
        <f t="array" ref="G165">_xlfn.SWITCH(LOWER(TRIM(F165)),
"enero",1,
"febrero",2,
"marzo",3,
"abril",4,
"mayo",5,
"junio",6,
"julio",7,
"agosto",8,
"septiembre",9,
"octubre",10,
"noviembre",11,
"diciembre",12)</f>
        <v>5</v>
      </c>
      <c r="H165">
        <v>7973405</v>
      </c>
      <c r="I165">
        <v>145</v>
      </c>
      <c r="J165">
        <v>879</v>
      </c>
      <c r="K165">
        <v>54989</v>
      </c>
    </row>
    <row r="166" spans="1:11" x14ac:dyDescent="0.25">
      <c r="A166" t="s">
        <v>18</v>
      </c>
      <c r="B166" t="s">
        <v>11</v>
      </c>
      <c r="C166" t="s">
        <v>12</v>
      </c>
      <c r="D166" t="s">
        <v>13</v>
      </c>
      <c r="E166">
        <v>44</v>
      </c>
      <c r="F166" t="s">
        <v>26</v>
      </c>
      <c r="G166" cm="1">
        <f t="array" ref="G166">_xlfn.SWITCH(LOWER(TRIM(F166)),
"enero",1,
"febrero",2,
"marzo",3,
"abril",4,
"mayo",5,
"junio",6,
"julio",7,
"agosto",8,
"septiembre",9,
"octubre",10,
"noviembre",11,
"diciembre",12)</f>
        <v>9</v>
      </c>
      <c r="H166">
        <v>5344738</v>
      </c>
      <c r="I166">
        <v>133</v>
      </c>
      <c r="J166">
        <v>181</v>
      </c>
      <c r="K166">
        <v>40186</v>
      </c>
    </row>
    <row r="167" spans="1:11" x14ac:dyDescent="0.25">
      <c r="A167" t="s">
        <v>15</v>
      </c>
      <c r="B167" t="s">
        <v>23</v>
      </c>
      <c r="C167" t="s">
        <v>24</v>
      </c>
      <c r="D167" t="s">
        <v>25</v>
      </c>
      <c r="E167">
        <v>44</v>
      </c>
      <c r="F167" t="s">
        <v>30</v>
      </c>
      <c r="G167" cm="1">
        <f t="array" ref="G167">_xlfn.SWITCH(LOWER(TRIM(F167)),
"enero",1,
"febrero",2,
"marzo",3,
"abril",4,
"mayo",5,
"junio",6,
"julio",7,
"agosto",8,
"septiembre",9,
"octubre",10,
"noviembre",11,
"diciembre",12)</f>
        <v>10</v>
      </c>
      <c r="H167">
        <v>4761240</v>
      </c>
      <c r="I167">
        <v>110</v>
      </c>
      <c r="J167">
        <v>735</v>
      </c>
      <c r="K167">
        <v>43284</v>
      </c>
    </row>
    <row r="168" spans="1:11" x14ac:dyDescent="0.25">
      <c r="A168" t="s">
        <v>18</v>
      </c>
      <c r="B168" t="s">
        <v>61</v>
      </c>
      <c r="C168" t="s">
        <v>28</v>
      </c>
      <c r="D168" t="s">
        <v>25</v>
      </c>
      <c r="E168">
        <v>48</v>
      </c>
      <c r="F168" t="s">
        <v>46</v>
      </c>
      <c r="G168" cm="1">
        <f t="array" ref="G168">_xlfn.SWITCH(LOWER(TRIM(F168)),
"enero",1,
"febrero",2,
"marzo",3,
"abril",4,
"mayo",5,
"junio",6,
"julio",7,
"agosto",8,
"septiembre",9,
"octubre",10,
"noviembre",11,
"diciembre",12)</f>
        <v>3</v>
      </c>
      <c r="H168">
        <v>2120544</v>
      </c>
      <c r="I168">
        <v>36</v>
      </c>
      <c r="J168">
        <v>155</v>
      </c>
      <c r="K168">
        <v>58904</v>
      </c>
    </row>
    <row r="169" spans="1:11" x14ac:dyDescent="0.25">
      <c r="A169" t="s">
        <v>10</v>
      </c>
      <c r="B169" t="s">
        <v>32</v>
      </c>
      <c r="C169" t="s">
        <v>28</v>
      </c>
      <c r="D169" t="s">
        <v>17</v>
      </c>
      <c r="E169">
        <v>1</v>
      </c>
      <c r="F169" t="s">
        <v>26</v>
      </c>
      <c r="G169" cm="1">
        <f t="array" ref="G169">_xlfn.SWITCH(LOWER(TRIM(F169)),
"enero",1,
"febrero",2,
"marzo",3,
"abril",4,
"mayo",5,
"junio",6,
"julio",7,
"agosto",8,
"septiembre",9,
"octubre",10,
"noviembre",11,
"diciembre",12)</f>
        <v>9</v>
      </c>
      <c r="H169">
        <v>9810501</v>
      </c>
      <c r="I169">
        <v>199</v>
      </c>
      <c r="J169">
        <v>33</v>
      </c>
      <c r="K169">
        <v>49299</v>
      </c>
    </row>
    <row r="170" spans="1:11" x14ac:dyDescent="0.25">
      <c r="A170" t="s">
        <v>15</v>
      </c>
      <c r="B170" t="s">
        <v>34</v>
      </c>
      <c r="C170" t="s">
        <v>28</v>
      </c>
      <c r="D170" t="s">
        <v>13</v>
      </c>
      <c r="E170">
        <v>2</v>
      </c>
      <c r="F170" t="s">
        <v>22</v>
      </c>
      <c r="G170" cm="1">
        <f t="array" ref="G170">_xlfn.SWITCH(LOWER(TRIM(F170)),
"enero",1,
"febrero",2,
"marzo",3,
"abril",4,
"mayo",5,
"junio",6,
"julio",7,
"agosto",8,
"septiembre",9,
"octubre",10,
"noviembre",11,
"diciembre",12)</f>
        <v>7</v>
      </c>
      <c r="H170">
        <v>1351194</v>
      </c>
      <c r="I170">
        <v>34</v>
      </c>
      <c r="J170">
        <v>738</v>
      </c>
      <c r="K170">
        <v>39741</v>
      </c>
    </row>
    <row r="171" spans="1:11" x14ac:dyDescent="0.25">
      <c r="A171" t="s">
        <v>37</v>
      </c>
      <c r="B171" t="s">
        <v>44</v>
      </c>
      <c r="C171" t="s">
        <v>42</v>
      </c>
      <c r="D171" t="s">
        <v>13</v>
      </c>
      <c r="E171">
        <v>17</v>
      </c>
      <c r="F171" t="s">
        <v>35</v>
      </c>
      <c r="G171" cm="1">
        <f t="array" ref="G171">_xlfn.SWITCH(LOWER(TRIM(F171)),
"enero",1,
"febrero",2,
"marzo",3,
"abril",4,
"mayo",5,
"junio",6,
"julio",7,
"agosto",8,
"septiembre",9,
"octubre",10,
"noviembre",11,
"diciembre",12)</f>
        <v>6</v>
      </c>
      <c r="H171">
        <v>8079840</v>
      </c>
      <c r="I171">
        <v>155</v>
      </c>
      <c r="J171">
        <v>498</v>
      </c>
      <c r="K171">
        <v>52128</v>
      </c>
    </row>
    <row r="172" spans="1:11" x14ac:dyDescent="0.25">
      <c r="A172" t="s">
        <v>31</v>
      </c>
      <c r="B172" t="s">
        <v>23</v>
      </c>
      <c r="C172" t="s">
        <v>24</v>
      </c>
      <c r="D172" t="s">
        <v>25</v>
      </c>
      <c r="E172">
        <v>20</v>
      </c>
      <c r="F172" t="s">
        <v>45</v>
      </c>
      <c r="G172" cm="1">
        <f t="array" ref="G172">_xlfn.SWITCH(LOWER(TRIM(F172)),
"enero",1,
"febrero",2,
"marzo",3,
"abril",4,
"mayo",5,
"junio",6,
"julio",7,
"agosto",8,
"septiembre",9,
"octubre",10,
"noviembre",11,
"diciembre",12)</f>
        <v>2</v>
      </c>
      <c r="H172">
        <v>6478905</v>
      </c>
      <c r="I172">
        <v>127</v>
      </c>
      <c r="J172">
        <v>708</v>
      </c>
      <c r="K172">
        <v>51015</v>
      </c>
    </row>
    <row r="173" spans="1:11" x14ac:dyDescent="0.25">
      <c r="A173" t="s">
        <v>31</v>
      </c>
      <c r="B173" t="s">
        <v>16</v>
      </c>
      <c r="C173" t="s">
        <v>12</v>
      </c>
      <c r="D173" t="s">
        <v>17</v>
      </c>
      <c r="E173">
        <v>29</v>
      </c>
      <c r="F173" t="s">
        <v>26</v>
      </c>
      <c r="G173" cm="1">
        <f t="array" ref="G173">_xlfn.SWITCH(LOWER(TRIM(F173)),
"enero",1,
"febrero",2,
"marzo",3,
"abril",4,
"mayo",5,
"junio",6,
"julio",7,
"agosto",8,
"septiembre",9,
"octubre",10,
"noviembre",11,
"diciembre",12)</f>
        <v>9</v>
      </c>
      <c r="H173">
        <v>5412358</v>
      </c>
      <c r="I173">
        <v>119</v>
      </c>
      <c r="J173">
        <v>34</v>
      </c>
      <c r="K173">
        <v>45482</v>
      </c>
    </row>
    <row r="174" spans="1:11" x14ac:dyDescent="0.25">
      <c r="A174" t="s">
        <v>15</v>
      </c>
      <c r="B174" t="s">
        <v>47</v>
      </c>
      <c r="C174" t="s">
        <v>42</v>
      </c>
      <c r="D174" t="s">
        <v>29</v>
      </c>
      <c r="E174">
        <v>7</v>
      </c>
      <c r="F174" t="s">
        <v>39</v>
      </c>
      <c r="G174" cm="1">
        <f t="array" ref="G174">_xlfn.SWITCH(LOWER(TRIM(F174)),
"enero",1,
"febrero",2,
"marzo",3,
"abril",4,
"mayo",5,
"junio",6,
"julio",7,
"agosto",8,
"septiembre",9,
"octubre",10,
"noviembre",11,
"diciembre",12)</f>
        <v>12</v>
      </c>
      <c r="H174">
        <v>8401344</v>
      </c>
      <c r="I174">
        <v>147</v>
      </c>
      <c r="J174">
        <v>766</v>
      </c>
      <c r="K174">
        <v>57152</v>
      </c>
    </row>
    <row r="175" spans="1:11" x14ac:dyDescent="0.25">
      <c r="A175" t="s">
        <v>15</v>
      </c>
      <c r="B175" t="s">
        <v>51</v>
      </c>
      <c r="C175" t="s">
        <v>24</v>
      </c>
      <c r="D175" t="s">
        <v>21</v>
      </c>
      <c r="E175">
        <v>22</v>
      </c>
      <c r="F175" t="s">
        <v>14</v>
      </c>
      <c r="G175" cm="1">
        <f t="array" ref="G175">_xlfn.SWITCH(LOWER(TRIM(F175)),
"enero",1,
"febrero",2,
"marzo",3,
"abril",4,
"mayo",5,
"junio",6,
"julio",7,
"agosto",8,
"septiembre",9,
"octubre",10,
"noviembre",11,
"diciembre",12)</f>
        <v>8</v>
      </c>
      <c r="H175">
        <v>5060864</v>
      </c>
      <c r="I175">
        <v>106</v>
      </c>
      <c r="J175">
        <v>609</v>
      </c>
      <c r="K175">
        <v>47744</v>
      </c>
    </row>
    <row r="176" spans="1:11" x14ac:dyDescent="0.25">
      <c r="A176" t="s">
        <v>10</v>
      </c>
      <c r="B176" t="s">
        <v>51</v>
      </c>
      <c r="C176" t="s">
        <v>24</v>
      </c>
      <c r="D176" t="s">
        <v>21</v>
      </c>
      <c r="E176">
        <v>26</v>
      </c>
      <c r="F176" t="s">
        <v>49</v>
      </c>
      <c r="G176" cm="1">
        <f t="array" ref="G176">_xlfn.SWITCH(LOWER(TRIM(F176)),
"enero",1,
"febrero",2,
"marzo",3,
"abril",4,
"mayo",5,
"junio",6,
"julio",7,
"agosto",8,
"septiembre",9,
"octubre",10,
"noviembre",11,
"diciembre",12)</f>
        <v>11</v>
      </c>
      <c r="H176">
        <v>10826877</v>
      </c>
      <c r="I176">
        <v>181</v>
      </c>
      <c r="J176">
        <v>485</v>
      </c>
      <c r="K176">
        <v>59817</v>
      </c>
    </row>
    <row r="177" spans="1:11" x14ac:dyDescent="0.25">
      <c r="A177" t="s">
        <v>15</v>
      </c>
      <c r="B177" t="s">
        <v>27</v>
      </c>
      <c r="C177" t="s">
        <v>28</v>
      </c>
      <c r="D177" t="s">
        <v>29</v>
      </c>
      <c r="E177">
        <v>9</v>
      </c>
      <c r="F177" t="s">
        <v>49</v>
      </c>
      <c r="G177" cm="1">
        <f t="array" ref="G177">_xlfn.SWITCH(LOWER(TRIM(F177)),
"enero",1,
"febrero",2,
"marzo",3,
"abril",4,
"mayo",5,
"junio",6,
"julio",7,
"agosto",8,
"septiembre",9,
"octubre",10,
"noviembre",11,
"diciembre",12)</f>
        <v>11</v>
      </c>
      <c r="H177">
        <v>6972669</v>
      </c>
      <c r="I177">
        <v>153</v>
      </c>
      <c r="J177">
        <v>869</v>
      </c>
      <c r="K177">
        <v>45573</v>
      </c>
    </row>
    <row r="178" spans="1:11" x14ac:dyDescent="0.25">
      <c r="A178" t="s">
        <v>37</v>
      </c>
      <c r="B178" t="s">
        <v>52</v>
      </c>
      <c r="C178" t="s">
        <v>24</v>
      </c>
      <c r="D178" t="s">
        <v>13</v>
      </c>
      <c r="E178">
        <v>6</v>
      </c>
      <c r="F178" t="s">
        <v>22</v>
      </c>
      <c r="G178" cm="1">
        <f t="array" ref="G178">_xlfn.SWITCH(LOWER(TRIM(F178)),
"enero",1,
"febrero",2,
"marzo",3,
"abril",4,
"mayo",5,
"junio",6,
"julio",7,
"agosto",8,
"septiembre",9,
"octubre",10,
"noviembre",11,
"diciembre",12)</f>
        <v>7</v>
      </c>
      <c r="H178">
        <v>4087000</v>
      </c>
      <c r="I178">
        <v>100</v>
      </c>
      <c r="J178">
        <v>599</v>
      </c>
      <c r="K178">
        <v>40870</v>
      </c>
    </row>
    <row r="179" spans="1:11" x14ac:dyDescent="0.25">
      <c r="A179" t="s">
        <v>10</v>
      </c>
      <c r="B179" t="s">
        <v>32</v>
      </c>
      <c r="C179" t="s">
        <v>28</v>
      </c>
      <c r="D179" t="s">
        <v>17</v>
      </c>
      <c r="E179">
        <v>26</v>
      </c>
      <c r="F179" t="s">
        <v>39</v>
      </c>
      <c r="G179" cm="1">
        <f t="array" ref="G179">_xlfn.SWITCH(LOWER(TRIM(F179)),
"enero",1,
"febrero",2,
"marzo",3,
"abril",4,
"mayo",5,
"junio",6,
"julio",7,
"agosto",8,
"septiembre",9,
"octubre",10,
"noviembre",11,
"diciembre",12)</f>
        <v>12</v>
      </c>
      <c r="H179">
        <v>5703762</v>
      </c>
      <c r="I179">
        <v>114</v>
      </c>
      <c r="J179">
        <v>79</v>
      </c>
      <c r="K179">
        <v>50033</v>
      </c>
    </row>
    <row r="180" spans="1:11" x14ac:dyDescent="0.25">
      <c r="A180" t="s">
        <v>15</v>
      </c>
      <c r="B180" t="s">
        <v>41</v>
      </c>
      <c r="C180" t="s">
        <v>42</v>
      </c>
      <c r="D180" t="s">
        <v>25</v>
      </c>
      <c r="E180">
        <v>27</v>
      </c>
      <c r="F180" t="s">
        <v>22</v>
      </c>
      <c r="G180" cm="1">
        <f t="array" ref="G180">_xlfn.SWITCH(LOWER(TRIM(F180)),
"enero",1,
"febrero",2,
"marzo",3,
"abril",4,
"mayo",5,
"junio",6,
"julio",7,
"agosto",8,
"septiembre",9,
"octubre",10,
"noviembre",11,
"diciembre",12)</f>
        <v>7</v>
      </c>
      <c r="H180">
        <v>10310860</v>
      </c>
      <c r="I180">
        <v>188</v>
      </c>
      <c r="J180">
        <v>676</v>
      </c>
      <c r="K180">
        <v>54845</v>
      </c>
    </row>
    <row r="181" spans="1:11" x14ac:dyDescent="0.25">
      <c r="A181" t="s">
        <v>31</v>
      </c>
      <c r="B181" t="s">
        <v>57</v>
      </c>
      <c r="C181" t="s">
        <v>42</v>
      </c>
      <c r="D181" t="s">
        <v>17</v>
      </c>
      <c r="E181">
        <v>14</v>
      </c>
      <c r="F181" t="s">
        <v>45</v>
      </c>
      <c r="G181" cm="1">
        <f t="array" ref="G181">_xlfn.SWITCH(LOWER(TRIM(F181)),
"enero",1,
"febrero",2,
"marzo",3,
"abril",4,
"mayo",5,
"junio",6,
"julio",7,
"agosto",8,
"septiembre",9,
"octubre",10,
"noviembre",11,
"diciembre",12)</f>
        <v>2</v>
      </c>
      <c r="H181">
        <v>5355805</v>
      </c>
      <c r="I181">
        <v>149</v>
      </c>
      <c r="J181">
        <v>653</v>
      </c>
      <c r="K181">
        <v>35945</v>
      </c>
    </row>
    <row r="182" spans="1:11" x14ac:dyDescent="0.25">
      <c r="A182" t="s">
        <v>15</v>
      </c>
      <c r="B182" t="s">
        <v>55</v>
      </c>
      <c r="C182" t="s">
        <v>42</v>
      </c>
      <c r="D182" t="s">
        <v>21</v>
      </c>
      <c r="E182">
        <v>24</v>
      </c>
      <c r="F182" t="s">
        <v>46</v>
      </c>
      <c r="G182" cm="1">
        <f t="array" ref="G182">_xlfn.SWITCH(LOWER(TRIM(F182)),
"enero",1,
"febrero",2,
"marzo",3,
"abril",4,
"mayo",5,
"junio",6,
"julio",7,
"agosto",8,
"septiembre",9,
"octubre",10,
"noviembre",11,
"diciembre",12)</f>
        <v>3</v>
      </c>
      <c r="H182">
        <v>7726155</v>
      </c>
      <c r="I182">
        <v>185</v>
      </c>
      <c r="J182">
        <v>88</v>
      </c>
      <c r="K182">
        <v>41763</v>
      </c>
    </row>
    <row r="183" spans="1:11" x14ac:dyDescent="0.25">
      <c r="A183" t="s">
        <v>31</v>
      </c>
      <c r="B183" t="s">
        <v>34</v>
      </c>
      <c r="C183" t="s">
        <v>28</v>
      </c>
      <c r="D183" t="s">
        <v>13</v>
      </c>
      <c r="E183">
        <v>47</v>
      </c>
      <c r="F183" t="s">
        <v>60</v>
      </c>
      <c r="G183" cm="1">
        <f t="array" ref="G183">_xlfn.SWITCH(LOWER(TRIM(F183)),
"enero",1,
"febrero",2,
"marzo",3,
"abril",4,
"mayo",5,
"junio",6,
"julio",7,
"agosto",8,
"septiembre",9,
"octubre",10,
"noviembre",11,
"diciembre",12)</f>
        <v>4</v>
      </c>
      <c r="H183">
        <v>1639504</v>
      </c>
      <c r="I183">
        <v>43</v>
      </c>
      <c r="J183">
        <v>112</v>
      </c>
      <c r="K183">
        <v>38128</v>
      </c>
    </row>
    <row r="184" spans="1:11" x14ac:dyDescent="0.25">
      <c r="A184" t="s">
        <v>18</v>
      </c>
      <c r="B184" t="s">
        <v>59</v>
      </c>
      <c r="C184" t="s">
        <v>12</v>
      </c>
      <c r="D184" t="s">
        <v>25</v>
      </c>
      <c r="E184">
        <v>6</v>
      </c>
      <c r="F184" t="s">
        <v>14</v>
      </c>
      <c r="G184" cm="1">
        <f t="array" ref="G184">_xlfn.SWITCH(LOWER(TRIM(F184)),
"enero",1,
"febrero",2,
"marzo",3,
"abril",4,
"mayo",5,
"junio",6,
"julio",7,
"agosto",8,
"septiembre",9,
"octubre",10,
"noviembre",11,
"diciembre",12)</f>
        <v>8</v>
      </c>
      <c r="H184">
        <v>7813296</v>
      </c>
      <c r="I184">
        <v>144</v>
      </c>
      <c r="J184">
        <v>546</v>
      </c>
      <c r="K184">
        <v>54259</v>
      </c>
    </row>
    <row r="185" spans="1:11" x14ac:dyDescent="0.25">
      <c r="A185" t="s">
        <v>15</v>
      </c>
      <c r="B185" t="s">
        <v>11</v>
      </c>
      <c r="C185" t="s">
        <v>12</v>
      </c>
      <c r="D185" t="s">
        <v>13</v>
      </c>
      <c r="E185">
        <v>19</v>
      </c>
      <c r="F185" t="s">
        <v>45</v>
      </c>
      <c r="G185" cm="1">
        <f t="array" ref="G185">_xlfn.SWITCH(LOWER(TRIM(F185)),
"enero",1,
"febrero",2,
"marzo",3,
"abril",4,
"mayo",5,
"junio",6,
"julio",7,
"agosto",8,
"septiembre",9,
"octubre",10,
"noviembre",11,
"diciembre",12)</f>
        <v>2</v>
      </c>
      <c r="H185">
        <v>3240518</v>
      </c>
      <c r="I185">
        <v>58</v>
      </c>
      <c r="J185">
        <v>705</v>
      </c>
      <c r="K185">
        <v>55871</v>
      </c>
    </row>
    <row r="186" spans="1:11" x14ac:dyDescent="0.25">
      <c r="A186" t="s">
        <v>18</v>
      </c>
      <c r="B186" t="s">
        <v>27</v>
      </c>
      <c r="C186" t="s">
        <v>28</v>
      </c>
      <c r="D186" t="s">
        <v>29</v>
      </c>
      <c r="E186">
        <v>13</v>
      </c>
      <c r="F186" t="s">
        <v>45</v>
      </c>
      <c r="G186" cm="1">
        <f t="array" ref="G186">_xlfn.SWITCH(LOWER(TRIM(F186)),
"enero",1,
"febrero",2,
"marzo",3,
"abril",4,
"mayo",5,
"junio",6,
"julio",7,
"agosto",8,
"septiembre",9,
"octubre",10,
"noviembre",11,
"diciembre",12)</f>
        <v>2</v>
      </c>
      <c r="H186">
        <v>2873164</v>
      </c>
      <c r="I186">
        <v>49</v>
      </c>
      <c r="J186">
        <v>220</v>
      </c>
      <c r="K186">
        <v>58636</v>
      </c>
    </row>
    <row r="187" spans="1:11" x14ac:dyDescent="0.25">
      <c r="A187" t="s">
        <v>15</v>
      </c>
      <c r="B187" t="s">
        <v>32</v>
      </c>
      <c r="C187" t="s">
        <v>28</v>
      </c>
      <c r="D187" t="s">
        <v>17</v>
      </c>
      <c r="E187">
        <v>43</v>
      </c>
      <c r="F187" t="s">
        <v>39</v>
      </c>
      <c r="G187" cm="1">
        <f t="array" ref="G187">_xlfn.SWITCH(LOWER(TRIM(F187)),
"enero",1,
"febrero",2,
"marzo",3,
"abril",4,
"mayo",5,
"junio",6,
"julio",7,
"agosto",8,
"septiembre",9,
"octubre",10,
"noviembre",11,
"diciembre",12)</f>
        <v>12</v>
      </c>
      <c r="H187">
        <v>5359824</v>
      </c>
      <c r="I187">
        <v>108</v>
      </c>
      <c r="J187">
        <v>535</v>
      </c>
      <c r="K187">
        <v>49628</v>
      </c>
    </row>
    <row r="188" spans="1:11" x14ac:dyDescent="0.25">
      <c r="A188" t="s">
        <v>18</v>
      </c>
      <c r="B188" t="s">
        <v>56</v>
      </c>
      <c r="C188" t="s">
        <v>24</v>
      </c>
      <c r="D188" t="s">
        <v>17</v>
      </c>
      <c r="E188">
        <v>26</v>
      </c>
      <c r="F188" t="s">
        <v>35</v>
      </c>
      <c r="G188" cm="1">
        <f t="array" ref="G188">_xlfn.SWITCH(LOWER(TRIM(F188)),
"enero",1,
"febrero",2,
"marzo",3,
"abril",4,
"mayo",5,
"junio",6,
"julio",7,
"agosto",8,
"septiembre",9,
"octubre",10,
"noviembre",11,
"diciembre",12)</f>
        <v>6</v>
      </c>
      <c r="H188">
        <v>3347050</v>
      </c>
      <c r="I188">
        <v>73</v>
      </c>
      <c r="J188">
        <v>784</v>
      </c>
      <c r="K188">
        <v>45850</v>
      </c>
    </row>
    <row r="189" spans="1:11" x14ac:dyDescent="0.25">
      <c r="A189" t="s">
        <v>31</v>
      </c>
      <c r="B189" t="s">
        <v>34</v>
      </c>
      <c r="C189" t="s">
        <v>28</v>
      </c>
      <c r="D189" t="s">
        <v>13</v>
      </c>
      <c r="E189">
        <v>35</v>
      </c>
      <c r="F189" t="s">
        <v>49</v>
      </c>
      <c r="G189" cm="1">
        <f t="array" ref="G189">_xlfn.SWITCH(LOWER(TRIM(F189)),
"enero",1,
"febrero",2,
"marzo",3,
"abril",4,
"mayo",5,
"junio",6,
"julio",7,
"agosto",8,
"septiembre",9,
"octubre",10,
"noviembre",11,
"diciembre",12)</f>
        <v>11</v>
      </c>
      <c r="H189">
        <v>1250622</v>
      </c>
      <c r="I189">
        <v>34</v>
      </c>
      <c r="J189">
        <v>686</v>
      </c>
      <c r="K189">
        <v>36783</v>
      </c>
    </row>
    <row r="190" spans="1:11" x14ac:dyDescent="0.25">
      <c r="A190" t="s">
        <v>18</v>
      </c>
      <c r="B190" t="s">
        <v>11</v>
      </c>
      <c r="C190" t="s">
        <v>12</v>
      </c>
      <c r="D190" t="s">
        <v>13</v>
      </c>
      <c r="E190">
        <v>23</v>
      </c>
      <c r="F190" t="s">
        <v>35</v>
      </c>
      <c r="G190" cm="1">
        <f t="array" ref="G190">_xlfn.SWITCH(LOWER(TRIM(F190)),
"enero",1,
"febrero",2,
"marzo",3,
"abril",4,
"mayo",5,
"junio",6,
"julio",7,
"agosto",8,
"septiembre",9,
"octubre",10,
"noviembre",11,
"diciembre",12)</f>
        <v>6</v>
      </c>
      <c r="H190">
        <v>4597740</v>
      </c>
      <c r="I190">
        <v>84</v>
      </c>
      <c r="J190">
        <v>606</v>
      </c>
      <c r="K190">
        <v>54735</v>
      </c>
    </row>
    <row r="191" spans="1:11" x14ac:dyDescent="0.25">
      <c r="A191" t="s">
        <v>15</v>
      </c>
      <c r="B191" t="s">
        <v>38</v>
      </c>
      <c r="C191" t="s">
        <v>20</v>
      </c>
      <c r="D191" t="s">
        <v>25</v>
      </c>
      <c r="E191">
        <v>14</v>
      </c>
      <c r="F191" t="s">
        <v>60</v>
      </c>
      <c r="G191" cm="1">
        <f t="array" ref="G191">_xlfn.SWITCH(LOWER(TRIM(F191)),
"enero",1,
"febrero",2,
"marzo",3,
"abril",4,
"mayo",5,
"junio",6,
"julio",7,
"agosto",8,
"septiembre",9,
"octubre",10,
"noviembre",11,
"diciembre",12)</f>
        <v>4</v>
      </c>
      <c r="H191">
        <v>6489546</v>
      </c>
      <c r="I191">
        <v>122</v>
      </c>
      <c r="J191">
        <v>731</v>
      </c>
      <c r="K191">
        <v>53193</v>
      </c>
    </row>
    <row r="192" spans="1:11" x14ac:dyDescent="0.25">
      <c r="A192" t="s">
        <v>10</v>
      </c>
      <c r="B192" t="s">
        <v>40</v>
      </c>
      <c r="C192" t="s">
        <v>12</v>
      </c>
      <c r="D192" t="s">
        <v>29</v>
      </c>
      <c r="E192">
        <v>45</v>
      </c>
      <c r="F192" t="s">
        <v>22</v>
      </c>
      <c r="G192" cm="1">
        <f t="array" ref="G192">_xlfn.SWITCH(LOWER(TRIM(F192)),
"enero",1,
"febrero",2,
"marzo",3,
"abril",4,
"mayo",5,
"junio",6,
"julio",7,
"agosto",8,
"septiembre",9,
"octubre",10,
"noviembre",11,
"diciembre",12)</f>
        <v>7</v>
      </c>
      <c r="H192">
        <v>2809040</v>
      </c>
      <c r="I192">
        <v>65</v>
      </c>
      <c r="J192">
        <v>170</v>
      </c>
      <c r="K192">
        <v>43216</v>
      </c>
    </row>
    <row r="193" spans="1:11" x14ac:dyDescent="0.25">
      <c r="A193" t="s">
        <v>18</v>
      </c>
      <c r="B193" t="s">
        <v>54</v>
      </c>
      <c r="C193" t="s">
        <v>28</v>
      </c>
      <c r="D193" t="s">
        <v>21</v>
      </c>
      <c r="E193">
        <v>48</v>
      </c>
      <c r="F193" t="s">
        <v>14</v>
      </c>
      <c r="G193" cm="1">
        <f t="array" ref="G193">_xlfn.SWITCH(LOWER(TRIM(F193)),
"enero",1,
"febrero",2,
"marzo",3,
"abril",4,
"mayo",5,
"junio",6,
"julio",7,
"agosto",8,
"septiembre",9,
"octubre",10,
"noviembre",11,
"diciembre",12)</f>
        <v>8</v>
      </c>
      <c r="H193">
        <v>3767637</v>
      </c>
      <c r="I193">
        <v>103</v>
      </c>
      <c r="J193">
        <v>33</v>
      </c>
      <c r="K193">
        <v>36579</v>
      </c>
    </row>
    <row r="194" spans="1:11" x14ac:dyDescent="0.25">
      <c r="A194" t="s">
        <v>31</v>
      </c>
      <c r="B194" t="s">
        <v>48</v>
      </c>
      <c r="C194" t="s">
        <v>20</v>
      </c>
      <c r="D194" t="s">
        <v>13</v>
      </c>
      <c r="E194">
        <v>30</v>
      </c>
      <c r="F194" t="s">
        <v>46</v>
      </c>
      <c r="G194" cm="1">
        <f t="array" ref="G194">_xlfn.SWITCH(LOWER(TRIM(F194)),
"enero",1,
"febrero",2,
"marzo",3,
"abril",4,
"mayo",5,
"junio",6,
"julio",7,
"agosto",8,
"septiembre",9,
"octubre",10,
"noviembre",11,
"diciembre",12)</f>
        <v>3</v>
      </c>
      <c r="H194">
        <v>5576500</v>
      </c>
      <c r="I194">
        <v>100</v>
      </c>
      <c r="J194">
        <v>821</v>
      </c>
      <c r="K194">
        <v>55765</v>
      </c>
    </row>
    <row r="195" spans="1:11" x14ac:dyDescent="0.25">
      <c r="A195" t="s">
        <v>31</v>
      </c>
      <c r="B195" t="s">
        <v>47</v>
      </c>
      <c r="C195" t="s">
        <v>42</v>
      </c>
      <c r="D195" t="s">
        <v>29</v>
      </c>
      <c r="E195">
        <v>20</v>
      </c>
      <c r="F195" t="s">
        <v>39</v>
      </c>
      <c r="G195" cm="1">
        <f t="array" ref="G195">_xlfn.SWITCH(LOWER(TRIM(F195)),
"enero",1,
"febrero",2,
"marzo",3,
"abril",4,
"mayo",5,
"junio",6,
"julio",7,
"agosto",8,
"septiembre",9,
"octubre",10,
"noviembre",11,
"diciembre",12)</f>
        <v>12</v>
      </c>
      <c r="H195">
        <v>9812601</v>
      </c>
      <c r="I195">
        <v>179</v>
      </c>
      <c r="J195">
        <v>17</v>
      </c>
      <c r="K195">
        <v>54819</v>
      </c>
    </row>
    <row r="196" spans="1:11" x14ac:dyDescent="0.25">
      <c r="A196" t="s">
        <v>31</v>
      </c>
      <c r="B196" t="s">
        <v>38</v>
      </c>
      <c r="C196" t="s">
        <v>20</v>
      </c>
      <c r="D196" t="s">
        <v>25</v>
      </c>
      <c r="E196">
        <v>31</v>
      </c>
      <c r="F196" t="s">
        <v>14</v>
      </c>
      <c r="G196" cm="1">
        <f t="array" ref="G196">_xlfn.SWITCH(LOWER(TRIM(F196)),
"enero",1,
"febrero",2,
"marzo",3,
"abril",4,
"mayo",5,
"junio",6,
"julio",7,
"agosto",8,
"septiembre",9,
"octubre",10,
"noviembre",11,
"diciembre",12)</f>
        <v>8</v>
      </c>
      <c r="H196">
        <v>6964176</v>
      </c>
      <c r="I196">
        <v>116</v>
      </c>
      <c r="J196">
        <v>63</v>
      </c>
      <c r="K196">
        <v>60036</v>
      </c>
    </row>
    <row r="197" spans="1:11" x14ac:dyDescent="0.25">
      <c r="A197" t="s">
        <v>18</v>
      </c>
      <c r="B197" t="s">
        <v>36</v>
      </c>
      <c r="C197" t="s">
        <v>20</v>
      </c>
      <c r="D197" t="s">
        <v>29</v>
      </c>
      <c r="E197">
        <v>30</v>
      </c>
      <c r="F197" t="s">
        <v>49</v>
      </c>
      <c r="G197" cm="1">
        <f t="array" ref="G197">_xlfn.SWITCH(LOWER(TRIM(F197)),
"enero",1,
"febrero",2,
"marzo",3,
"abril",4,
"mayo",5,
"junio",6,
"julio",7,
"agosto",8,
"septiembre",9,
"octubre",10,
"noviembre",11,
"diciembre",12)</f>
        <v>11</v>
      </c>
      <c r="H197">
        <v>5377736</v>
      </c>
      <c r="I197">
        <v>89</v>
      </c>
      <c r="J197">
        <v>44</v>
      </c>
      <c r="K197">
        <v>60424</v>
      </c>
    </row>
    <row r="198" spans="1:11" x14ac:dyDescent="0.25">
      <c r="A198" t="s">
        <v>31</v>
      </c>
      <c r="B198" t="s">
        <v>51</v>
      </c>
      <c r="C198" t="s">
        <v>24</v>
      </c>
      <c r="D198" t="s">
        <v>21</v>
      </c>
      <c r="E198">
        <v>40</v>
      </c>
      <c r="F198" t="s">
        <v>39</v>
      </c>
      <c r="G198" cm="1">
        <f t="array" ref="G198">_xlfn.SWITCH(LOWER(TRIM(F198)),
"enero",1,
"febrero",2,
"marzo",3,
"abril",4,
"mayo",5,
"junio",6,
"julio",7,
"agosto",8,
"septiembre",9,
"octubre",10,
"noviembre",11,
"diciembre",12)</f>
        <v>12</v>
      </c>
      <c r="H198">
        <v>3201396</v>
      </c>
      <c r="I198">
        <v>66</v>
      </c>
      <c r="J198">
        <v>133</v>
      </c>
      <c r="K198">
        <v>48506</v>
      </c>
    </row>
    <row r="199" spans="1:11" x14ac:dyDescent="0.25">
      <c r="A199" t="s">
        <v>10</v>
      </c>
      <c r="B199" t="s">
        <v>19</v>
      </c>
      <c r="C199" t="s">
        <v>20</v>
      </c>
      <c r="D199" t="s">
        <v>21</v>
      </c>
      <c r="E199">
        <v>21</v>
      </c>
      <c r="F199" t="s">
        <v>14</v>
      </c>
      <c r="G199" cm="1">
        <f t="array" ref="G199">_xlfn.SWITCH(LOWER(TRIM(F199)),
"enero",1,
"febrero",2,
"marzo",3,
"abril",4,
"mayo",5,
"junio",6,
"julio",7,
"agosto",8,
"septiembre",9,
"octubre",10,
"noviembre",11,
"diciembre",12)</f>
        <v>8</v>
      </c>
      <c r="H199">
        <v>2865551</v>
      </c>
      <c r="I199">
        <v>53</v>
      </c>
      <c r="J199">
        <v>223</v>
      </c>
      <c r="K199">
        <v>54067</v>
      </c>
    </row>
    <row r="200" spans="1:11" x14ac:dyDescent="0.25">
      <c r="A200" t="s">
        <v>18</v>
      </c>
      <c r="B200" t="s">
        <v>48</v>
      </c>
      <c r="C200" t="s">
        <v>20</v>
      </c>
      <c r="D200" t="s">
        <v>13</v>
      </c>
      <c r="E200">
        <v>52</v>
      </c>
      <c r="F200" t="s">
        <v>60</v>
      </c>
      <c r="G200" cm="1">
        <f t="array" ref="G200">_xlfn.SWITCH(LOWER(TRIM(F200)),
"enero",1,
"febrero",2,
"marzo",3,
"abril",4,
"mayo",5,
"junio",6,
"julio",7,
"agosto",8,
"septiembre",9,
"octubre",10,
"noviembre",11,
"diciembre",12)</f>
        <v>4</v>
      </c>
      <c r="H200">
        <v>5878980</v>
      </c>
      <c r="I200">
        <v>108</v>
      </c>
      <c r="J200">
        <v>535</v>
      </c>
      <c r="K200">
        <v>54435</v>
      </c>
    </row>
    <row r="201" spans="1:11" x14ac:dyDescent="0.25">
      <c r="A201" t="s">
        <v>10</v>
      </c>
      <c r="B201" t="s">
        <v>55</v>
      </c>
      <c r="C201" t="s">
        <v>42</v>
      </c>
      <c r="D201" t="s">
        <v>21</v>
      </c>
      <c r="E201">
        <v>52</v>
      </c>
      <c r="F201" t="s">
        <v>33</v>
      </c>
      <c r="G201" cm="1">
        <f t="array" ref="G201">_xlfn.SWITCH(LOWER(TRIM(F201)),
"enero",1,
"febrero",2,
"marzo",3,
"abril",4,
"mayo",5,
"junio",6,
"julio",7,
"agosto",8,
"septiembre",9,
"octubre",10,
"noviembre",11,
"diciembre",12)</f>
        <v>1</v>
      </c>
      <c r="H201">
        <v>2187023</v>
      </c>
      <c r="I201">
        <v>43</v>
      </c>
      <c r="J201">
        <v>497</v>
      </c>
      <c r="K201">
        <v>50861</v>
      </c>
    </row>
    <row r="202" spans="1:11" x14ac:dyDescent="0.25">
      <c r="A202" t="s">
        <v>18</v>
      </c>
      <c r="B202" t="s">
        <v>52</v>
      </c>
      <c r="C202" t="s">
        <v>24</v>
      </c>
      <c r="D202" t="s">
        <v>13</v>
      </c>
      <c r="E202">
        <v>27</v>
      </c>
      <c r="F202" t="s">
        <v>33</v>
      </c>
      <c r="G202" cm="1">
        <f t="array" ref="G202">_xlfn.SWITCH(LOWER(TRIM(F202)),
"enero",1,
"febrero",2,
"marzo",3,
"abril",4,
"mayo",5,
"junio",6,
"julio",7,
"agosto",8,
"septiembre",9,
"octubre",10,
"noviembre",11,
"diciembre",12)</f>
        <v>1</v>
      </c>
      <c r="H202">
        <v>2540505</v>
      </c>
      <c r="I202">
        <v>55</v>
      </c>
      <c r="J202">
        <v>166</v>
      </c>
      <c r="K202">
        <v>46191</v>
      </c>
    </row>
    <row r="203" spans="1:11" x14ac:dyDescent="0.25">
      <c r="A203" t="s">
        <v>37</v>
      </c>
      <c r="B203" t="s">
        <v>16</v>
      </c>
      <c r="C203" t="s">
        <v>12</v>
      </c>
      <c r="D203" t="s">
        <v>17</v>
      </c>
      <c r="E203">
        <v>12</v>
      </c>
      <c r="F203" t="s">
        <v>45</v>
      </c>
      <c r="G203" cm="1">
        <f t="array" ref="G203">_xlfn.SWITCH(LOWER(TRIM(F203)),
"enero",1,
"febrero",2,
"marzo",3,
"abril",4,
"mayo",5,
"junio",6,
"julio",7,
"agosto",8,
"septiembre",9,
"octubre",10,
"noviembre",11,
"diciembre",12)</f>
        <v>2</v>
      </c>
      <c r="H203">
        <v>8786426</v>
      </c>
      <c r="I203">
        <v>146</v>
      </c>
      <c r="J203">
        <v>550</v>
      </c>
      <c r="K203">
        <v>60181</v>
      </c>
    </row>
    <row r="204" spans="1:11" x14ac:dyDescent="0.25">
      <c r="A204" t="s">
        <v>37</v>
      </c>
      <c r="B204" t="s">
        <v>34</v>
      </c>
      <c r="C204" t="s">
        <v>28</v>
      </c>
      <c r="D204" t="s">
        <v>13</v>
      </c>
      <c r="E204">
        <v>38</v>
      </c>
      <c r="F204" t="s">
        <v>46</v>
      </c>
      <c r="G204" cm="1">
        <f t="array" ref="G204">_xlfn.SWITCH(LOWER(TRIM(F204)),
"enero",1,
"febrero",2,
"marzo",3,
"abril",4,
"mayo",5,
"junio",6,
"julio",7,
"agosto",8,
"septiembre",9,
"octubre",10,
"noviembre",11,
"diciembre",12)</f>
        <v>3</v>
      </c>
      <c r="H204">
        <v>3016820</v>
      </c>
      <c r="I204">
        <v>76</v>
      </c>
      <c r="J204">
        <v>47</v>
      </c>
      <c r="K204">
        <v>39695</v>
      </c>
    </row>
    <row r="205" spans="1:11" x14ac:dyDescent="0.25">
      <c r="A205" t="s">
        <v>31</v>
      </c>
      <c r="B205" t="s">
        <v>55</v>
      </c>
      <c r="C205" t="s">
        <v>42</v>
      </c>
      <c r="D205" t="s">
        <v>21</v>
      </c>
      <c r="E205">
        <v>21</v>
      </c>
      <c r="F205" t="s">
        <v>30</v>
      </c>
      <c r="G205" cm="1">
        <f t="array" ref="G205">_xlfn.SWITCH(LOWER(TRIM(F205)),
"enero",1,
"febrero",2,
"marzo",3,
"abril",4,
"mayo",5,
"junio",6,
"julio",7,
"agosto",8,
"septiembre",9,
"octubre",10,
"noviembre",11,
"diciembre",12)</f>
        <v>10</v>
      </c>
      <c r="H205">
        <v>8920952</v>
      </c>
      <c r="I205">
        <v>172</v>
      </c>
      <c r="J205">
        <v>293</v>
      </c>
      <c r="K205">
        <v>51866</v>
      </c>
    </row>
    <row r="206" spans="1:11" x14ac:dyDescent="0.25">
      <c r="A206" t="s">
        <v>37</v>
      </c>
      <c r="B206" t="s">
        <v>59</v>
      </c>
      <c r="C206" t="s">
        <v>12</v>
      </c>
      <c r="D206" t="s">
        <v>25</v>
      </c>
      <c r="E206">
        <v>9</v>
      </c>
      <c r="F206" t="s">
        <v>39</v>
      </c>
      <c r="G206" cm="1">
        <f t="array" ref="G206">_xlfn.SWITCH(LOWER(TRIM(F206)),
"enero",1,
"febrero",2,
"marzo",3,
"abril",4,
"mayo",5,
"junio",6,
"julio",7,
"agosto",8,
"septiembre",9,
"octubre",10,
"noviembre",11,
"diciembre",12)</f>
        <v>12</v>
      </c>
      <c r="H206">
        <v>2559243</v>
      </c>
      <c r="I206">
        <v>59</v>
      </c>
      <c r="J206">
        <v>721</v>
      </c>
      <c r="K206">
        <v>43377</v>
      </c>
    </row>
    <row r="207" spans="1:11" x14ac:dyDescent="0.25">
      <c r="A207" t="s">
        <v>15</v>
      </c>
      <c r="B207" t="s">
        <v>38</v>
      </c>
      <c r="C207" t="s">
        <v>20</v>
      </c>
      <c r="D207" t="s">
        <v>25</v>
      </c>
      <c r="E207">
        <v>30</v>
      </c>
      <c r="F207" t="s">
        <v>49</v>
      </c>
      <c r="G207" cm="1">
        <f t="array" ref="G207">_xlfn.SWITCH(LOWER(TRIM(F207)),
"enero",1,
"febrero",2,
"marzo",3,
"abril",4,
"mayo",5,
"junio",6,
"julio",7,
"agosto",8,
"septiembre",9,
"octubre",10,
"noviembre",11,
"diciembre",12)</f>
        <v>11</v>
      </c>
      <c r="H207">
        <v>3214273</v>
      </c>
      <c r="I207">
        <v>61</v>
      </c>
      <c r="J207">
        <v>724</v>
      </c>
      <c r="K207">
        <v>52693</v>
      </c>
    </row>
    <row r="208" spans="1:11" x14ac:dyDescent="0.25">
      <c r="A208" t="s">
        <v>37</v>
      </c>
      <c r="B208" t="s">
        <v>27</v>
      </c>
      <c r="C208" t="s">
        <v>28</v>
      </c>
      <c r="D208" t="s">
        <v>29</v>
      </c>
      <c r="E208">
        <v>15</v>
      </c>
      <c r="F208" t="s">
        <v>43</v>
      </c>
      <c r="G208" cm="1">
        <f t="array" ref="G208">_xlfn.SWITCH(LOWER(TRIM(F208)),
"enero",1,
"febrero",2,
"marzo",3,
"abril",4,
"mayo",5,
"junio",6,
"julio",7,
"agosto",8,
"septiembre",9,
"octubre",10,
"noviembre",11,
"diciembre",12)</f>
        <v>5</v>
      </c>
      <c r="H208">
        <v>9151025</v>
      </c>
      <c r="I208">
        <v>185</v>
      </c>
      <c r="J208">
        <v>369</v>
      </c>
      <c r="K208">
        <v>49465</v>
      </c>
    </row>
    <row r="209" spans="1:11" x14ac:dyDescent="0.25">
      <c r="A209" t="s">
        <v>18</v>
      </c>
      <c r="B209" t="s">
        <v>44</v>
      </c>
      <c r="C209" t="s">
        <v>42</v>
      </c>
      <c r="D209" t="s">
        <v>13</v>
      </c>
      <c r="E209">
        <v>42</v>
      </c>
      <c r="F209" t="s">
        <v>22</v>
      </c>
      <c r="G209" cm="1">
        <f t="array" ref="G209">_xlfn.SWITCH(LOWER(TRIM(F209)),
"enero",1,
"febrero",2,
"marzo",3,
"abril",4,
"mayo",5,
"junio",6,
"julio",7,
"agosto",8,
"septiembre",9,
"octubre",10,
"noviembre",11,
"diciembre",12)</f>
        <v>7</v>
      </c>
      <c r="H209">
        <v>7885332</v>
      </c>
      <c r="I209">
        <v>166</v>
      </c>
      <c r="J209">
        <v>177</v>
      </c>
      <c r="K209">
        <v>47502</v>
      </c>
    </row>
    <row r="210" spans="1:11" x14ac:dyDescent="0.25">
      <c r="A210" t="s">
        <v>10</v>
      </c>
      <c r="B210" t="s">
        <v>27</v>
      </c>
      <c r="C210" t="s">
        <v>28</v>
      </c>
      <c r="D210" t="s">
        <v>29</v>
      </c>
      <c r="E210">
        <v>49</v>
      </c>
      <c r="F210" t="s">
        <v>30</v>
      </c>
      <c r="G210" cm="1">
        <f t="array" ref="G210">_xlfn.SWITCH(LOWER(TRIM(F210)),
"enero",1,
"febrero",2,
"marzo",3,
"abril",4,
"mayo",5,
"junio",6,
"julio",7,
"agosto",8,
"septiembre",9,
"octubre",10,
"noviembre",11,
"diciembre",12)</f>
        <v>10</v>
      </c>
      <c r="H210">
        <v>7448732</v>
      </c>
      <c r="I210">
        <v>139</v>
      </c>
      <c r="J210">
        <v>542</v>
      </c>
      <c r="K210">
        <v>53588</v>
      </c>
    </row>
    <row r="211" spans="1:11" x14ac:dyDescent="0.25">
      <c r="A211" t="s">
        <v>10</v>
      </c>
      <c r="B211" t="s">
        <v>41</v>
      </c>
      <c r="C211" t="s">
        <v>42</v>
      </c>
      <c r="D211" t="s">
        <v>25</v>
      </c>
      <c r="E211">
        <v>50</v>
      </c>
      <c r="F211" t="s">
        <v>30</v>
      </c>
      <c r="G211" cm="1">
        <f t="array" ref="G211">_xlfn.SWITCH(LOWER(TRIM(F211)),
"enero",1,
"febrero",2,
"marzo",3,
"abril",4,
"mayo",5,
"junio",6,
"julio",7,
"agosto",8,
"septiembre",9,
"octubre",10,
"noviembre",11,
"diciembre",12)</f>
        <v>10</v>
      </c>
      <c r="H211">
        <v>1767930</v>
      </c>
      <c r="I211">
        <v>31</v>
      </c>
      <c r="J211">
        <v>611</v>
      </c>
      <c r="K211">
        <v>57030</v>
      </c>
    </row>
    <row r="212" spans="1:11" x14ac:dyDescent="0.25">
      <c r="A212" t="s">
        <v>18</v>
      </c>
      <c r="B212" t="s">
        <v>38</v>
      </c>
      <c r="C212" t="s">
        <v>20</v>
      </c>
      <c r="D212" t="s">
        <v>25</v>
      </c>
      <c r="E212">
        <v>2</v>
      </c>
      <c r="F212" t="s">
        <v>43</v>
      </c>
      <c r="G212" cm="1">
        <f t="array" ref="G212">_xlfn.SWITCH(LOWER(TRIM(F212)),
"enero",1,
"febrero",2,
"marzo",3,
"abril",4,
"mayo",5,
"junio",6,
"julio",7,
"agosto",8,
"septiembre",9,
"octubre",10,
"noviembre",11,
"diciembre",12)</f>
        <v>5</v>
      </c>
      <c r="H212">
        <v>9206401</v>
      </c>
      <c r="I212">
        <v>197</v>
      </c>
      <c r="J212">
        <v>610</v>
      </c>
      <c r="K212">
        <v>46733</v>
      </c>
    </row>
    <row r="213" spans="1:11" x14ac:dyDescent="0.25">
      <c r="A213" t="s">
        <v>10</v>
      </c>
      <c r="B213" t="s">
        <v>56</v>
      </c>
      <c r="C213" t="s">
        <v>24</v>
      </c>
      <c r="D213" t="s">
        <v>17</v>
      </c>
      <c r="E213">
        <v>49</v>
      </c>
      <c r="F213" t="s">
        <v>39</v>
      </c>
      <c r="G213" cm="1">
        <f t="array" ref="G213">_xlfn.SWITCH(LOWER(TRIM(F213)),
"enero",1,
"febrero",2,
"marzo",3,
"abril",4,
"mayo",5,
"junio",6,
"julio",7,
"agosto",8,
"septiembre",9,
"octubre",10,
"noviembre",11,
"diciembre",12)</f>
        <v>12</v>
      </c>
      <c r="H213">
        <v>1799127</v>
      </c>
      <c r="I213">
        <v>33</v>
      </c>
      <c r="J213">
        <v>179</v>
      </c>
      <c r="K213">
        <v>54519</v>
      </c>
    </row>
    <row r="214" spans="1:11" x14ac:dyDescent="0.25">
      <c r="A214" t="s">
        <v>31</v>
      </c>
      <c r="B214" t="s">
        <v>61</v>
      </c>
      <c r="C214" t="s">
        <v>28</v>
      </c>
      <c r="D214" t="s">
        <v>25</v>
      </c>
      <c r="E214">
        <v>6</v>
      </c>
      <c r="F214" t="s">
        <v>35</v>
      </c>
      <c r="G214" cm="1">
        <f t="array" ref="G214">_xlfn.SWITCH(LOWER(TRIM(F214)),
"enero",1,
"febrero",2,
"marzo",3,
"abril",4,
"mayo",5,
"junio",6,
"julio",7,
"agosto",8,
"septiembre",9,
"octubre",10,
"noviembre",11,
"diciembre",12)</f>
        <v>6</v>
      </c>
      <c r="H214">
        <v>6655320</v>
      </c>
      <c r="I214">
        <v>133</v>
      </c>
      <c r="J214">
        <v>768</v>
      </c>
      <c r="K214">
        <v>50040</v>
      </c>
    </row>
    <row r="215" spans="1:11" x14ac:dyDescent="0.25">
      <c r="A215" t="s">
        <v>18</v>
      </c>
      <c r="B215" t="s">
        <v>27</v>
      </c>
      <c r="C215" t="s">
        <v>28</v>
      </c>
      <c r="D215" t="s">
        <v>29</v>
      </c>
      <c r="E215">
        <v>15</v>
      </c>
      <c r="F215" t="s">
        <v>45</v>
      </c>
      <c r="G215" cm="1">
        <f t="array" ref="G215">_xlfn.SWITCH(LOWER(TRIM(F215)),
"enero",1,
"febrero",2,
"marzo",3,
"abril",4,
"mayo",5,
"junio",6,
"julio",7,
"agosto",8,
"septiembre",9,
"octubre",10,
"noviembre",11,
"diciembre",12)</f>
        <v>2</v>
      </c>
      <c r="H215">
        <v>3186600</v>
      </c>
      <c r="I215">
        <v>75</v>
      </c>
      <c r="J215">
        <v>200</v>
      </c>
      <c r="K215">
        <v>42488</v>
      </c>
    </row>
    <row r="216" spans="1:11" x14ac:dyDescent="0.25">
      <c r="A216" t="s">
        <v>15</v>
      </c>
      <c r="B216" t="s">
        <v>61</v>
      </c>
      <c r="C216" t="s">
        <v>28</v>
      </c>
      <c r="D216" t="s">
        <v>25</v>
      </c>
      <c r="E216">
        <v>41</v>
      </c>
      <c r="F216" t="s">
        <v>43</v>
      </c>
      <c r="G216" cm="1">
        <f t="array" ref="G216">_xlfn.SWITCH(LOWER(TRIM(F216)),
"enero",1,
"febrero",2,
"marzo",3,
"abril",4,
"mayo",5,
"junio",6,
"julio",7,
"agosto",8,
"septiembre",9,
"octubre",10,
"noviembre",11,
"diciembre",12)</f>
        <v>5</v>
      </c>
      <c r="H216">
        <v>6892435</v>
      </c>
      <c r="I216">
        <v>113</v>
      </c>
      <c r="J216">
        <v>14</v>
      </c>
      <c r="K216">
        <v>60995</v>
      </c>
    </row>
    <row r="217" spans="1:11" x14ac:dyDescent="0.25">
      <c r="A217" t="s">
        <v>31</v>
      </c>
      <c r="B217" t="s">
        <v>55</v>
      </c>
      <c r="C217" t="s">
        <v>42</v>
      </c>
      <c r="D217" t="s">
        <v>21</v>
      </c>
      <c r="E217">
        <v>33</v>
      </c>
      <c r="F217" t="s">
        <v>60</v>
      </c>
      <c r="G217" cm="1">
        <f t="array" ref="G217">_xlfn.SWITCH(LOWER(TRIM(F217)),
"enero",1,
"febrero",2,
"marzo",3,
"abril",4,
"mayo",5,
"junio",6,
"julio",7,
"agosto",8,
"septiembre",9,
"octubre",10,
"noviembre",11,
"diciembre",12)</f>
        <v>4</v>
      </c>
      <c r="H217">
        <v>1936506</v>
      </c>
      <c r="I217">
        <v>39</v>
      </c>
      <c r="J217">
        <v>299</v>
      </c>
      <c r="K217">
        <v>49654</v>
      </c>
    </row>
    <row r="218" spans="1:11" x14ac:dyDescent="0.25">
      <c r="A218" t="s">
        <v>15</v>
      </c>
      <c r="B218" t="s">
        <v>16</v>
      </c>
      <c r="C218" t="s">
        <v>12</v>
      </c>
      <c r="D218" t="s">
        <v>17</v>
      </c>
      <c r="E218">
        <v>44</v>
      </c>
      <c r="F218" t="s">
        <v>43</v>
      </c>
      <c r="G218" cm="1">
        <f t="array" ref="G218">_xlfn.SWITCH(LOWER(TRIM(F218)),
"enero",1,
"febrero",2,
"marzo",3,
"abril",4,
"mayo",5,
"junio",6,
"julio",7,
"agosto",8,
"septiembre",9,
"octubre",10,
"noviembre",11,
"diciembre",12)</f>
        <v>5</v>
      </c>
      <c r="H218">
        <v>4634688</v>
      </c>
      <c r="I218">
        <v>101</v>
      </c>
      <c r="J218">
        <v>862</v>
      </c>
      <c r="K218">
        <v>45888</v>
      </c>
    </row>
    <row r="219" spans="1:11" x14ac:dyDescent="0.25">
      <c r="A219" t="s">
        <v>18</v>
      </c>
      <c r="B219" t="s">
        <v>44</v>
      </c>
      <c r="C219" t="s">
        <v>42</v>
      </c>
      <c r="D219" t="s">
        <v>13</v>
      </c>
      <c r="E219">
        <v>31</v>
      </c>
      <c r="F219" t="s">
        <v>26</v>
      </c>
      <c r="G219" cm="1">
        <f t="array" ref="G219">_xlfn.SWITCH(LOWER(TRIM(F219)),
"enero",1,
"febrero",2,
"marzo",3,
"abril",4,
"mayo",5,
"junio",6,
"julio",7,
"agosto",8,
"septiembre",9,
"octubre",10,
"noviembre",11,
"diciembre",12)</f>
        <v>9</v>
      </c>
      <c r="H219">
        <v>10826920</v>
      </c>
      <c r="I219">
        <v>188</v>
      </c>
      <c r="J219">
        <v>638</v>
      </c>
      <c r="K219">
        <v>57590</v>
      </c>
    </row>
    <row r="220" spans="1:11" x14ac:dyDescent="0.25">
      <c r="A220" t="s">
        <v>37</v>
      </c>
      <c r="B220" t="s">
        <v>61</v>
      </c>
      <c r="C220" t="s">
        <v>28</v>
      </c>
      <c r="D220" t="s">
        <v>25</v>
      </c>
      <c r="E220">
        <v>34</v>
      </c>
      <c r="F220" t="s">
        <v>60</v>
      </c>
      <c r="G220" cm="1">
        <f t="array" ref="G220">_xlfn.SWITCH(LOWER(TRIM(F220)),
"enero",1,
"febrero",2,
"marzo",3,
"abril",4,
"mayo",5,
"junio",6,
"julio",7,
"agosto",8,
"septiembre",9,
"octubre",10,
"noviembre",11,
"diciembre",12)</f>
        <v>4</v>
      </c>
      <c r="H220">
        <v>5722064</v>
      </c>
      <c r="I220">
        <v>109</v>
      </c>
      <c r="J220">
        <v>512</v>
      </c>
      <c r="K220">
        <v>52496</v>
      </c>
    </row>
    <row r="221" spans="1:11" x14ac:dyDescent="0.25">
      <c r="A221" t="s">
        <v>18</v>
      </c>
      <c r="B221" t="s">
        <v>53</v>
      </c>
      <c r="C221" t="s">
        <v>24</v>
      </c>
      <c r="D221" t="s">
        <v>29</v>
      </c>
      <c r="E221">
        <v>34</v>
      </c>
      <c r="F221" t="s">
        <v>33</v>
      </c>
      <c r="G221" cm="1">
        <f t="array" ref="G221">_xlfn.SWITCH(LOWER(TRIM(F221)),
"enero",1,
"febrero",2,
"marzo",3,
"abril",4,
"mayo",5,
"junio",6,
"julio",7,
"agosto",8,
"septiembre",9,
"octubre",10,
"noviembre",11,
"diciembre",12)</f>
        <v>1</v>
      </c>
      <c r="H221">
        <v>2421237</v>
      </c>
      <c r="I221">
        <v>49</v>
      </c>
      <c r="J221">
        <v>682</v>
      </c>
      <c r="K221">
        <v>49413</v>
      </c>
    </row>
    <row r="222" spans="1:11" x14ac:dyDescent="0.25">
      <c r="A222" t="s">
        <v>10</v>
      </c>
      <c r="B222" t="s">
        <v>34</v>
      </c>
      <c r="C222" t="s">
        <v>28</v>
      </c>
      <c r="D222" t="s">
        <v>13</v>
      </c>
      <c r="E222">
        <v>22</v>
      </c>
      <c r="F222" t="s">
        <v>39</v>
      </c>
      <c r="G222" cm="1">
        <f t="array" ref="G222">_xlfn.SWITCH(LOWER(TRIM(F222)),
"enero",1,
"febrero",2,
"marzo",3,
"abril",4,
"mayo",5,
"junio",6,
"julio",7,
"agosto",8,
"septiembre",9,
"octubre",10,
"noviembre",11,
"diciembre",12)</f>
        <v>12</v>
      </c>
      <c r="H222">
        <v>7506018</v>
      </c>
      <c r="I222">
        <v>117</v>
      </c>
      <c r="J222">
        <v>133</v>
      </c>
      <c r="K222">
        <v>64154</v>
      </c>
    </row>
    <row r="223" spans="1:11" x14ac:dyDescent="0.25">
      <c r="A223" t="s">
        <v>15</v>
      </c>
      <c r="B223" t="s">
        <v>11</v>
      </c>
      <c r="C223" t="s">
        <v>12</v>
      </c>
      <c r="D223" t="s">
        <v>13</v>
      </c>
      <c r="E223">
        <v>35</v>
      </c>
      <c r="F223" t="s">
        <v>43</v>
      </c>
      <c r="G223" cm="1">
        <f t="array" ref="G223">_xlfn.SWITCH(LOWER(TRIM(F223)),
"enero",1,
"febrero",2,
"marzo",3,
"abril",4,
"mayo",5,
"junio",6,
"julio",7,
"agosto",8,
"septiembre",9,
"octubre",10,
"noviembre",11,
"diciembre",12)</f>
        <v>5</v>
      </c>
      <c r="H223">
        <v>12402585</v>
      </c>
      <c r="I223">
        <v>195</v>
      </c>
      <c r="J223">
        <v>346</v>
      </c>
      <c r="K223">
        <v>63603</v>
      </c>
    </row>
    <row r="224" spans="1:11" x14ac:dyDescent="0.25">
      <c r="A224" t="s">
        <v>31</v>
      </c>
      <c r="B224" t="s">
        <v>54</v>
      </c>
      <c r="C224" t="s">
        <v>28</v>
      </c>
      <c r="D224" t="s">
        <v>21</v>
      </c>
      <c r="E224">
        <v>28</v>
      </c>
      <c r="F224" t="s">
        <v>14</v>
      </c>
      <c r="G224" cm="1">
        <f t="array" ref="G224">_xlfn.SWITCH(LOWER(TRIM(F224)),
"enero",1,
"febrero",2,
"marzo",3,
"abril",4,
"mayo",5,
"junio",6,
"julio",7,
"agosto",8,
"septiembre",9,
"octubre",10,
"noviembre",11,
"diciembre",12)</f>
        <v>8</v>
      </c>
      <c r="H224">
        <v>2914860</v>
      </c>
      <c r="I224">
        <v>60</v>
      </c>
      <c r="J224">
        <v>161</v>
      </c>
      <c r="K224">
        <v>48581</v>
      </c>
    </row>
    <row r="225" spans="1:11" x14ac:dyDescent="0.25">
      <c r="A225" t="s">
        <v>31</v>
      </c>
      <c r="B225" t="s">
        <v>57</v>
      </c>
      <c r="C225" t="s">
        <v>42</v>
      </c>
      <c r="D225" t="s">
        <v>17</v>
      </c>
      <c r="E225">
        <v>19</v>
      </c>
      <c r="F225" t="s">
        <v>26</v>
      </c>
      <c r="G225" cm="1">
        <f t="array" ref="G225">_xlfn.SWITCH(LOWER(TRIM(F225)),
"enero",1,
"febrero",2,
"marzo",3,
"abril",4,
"mayo",5,
"junio",6,
"julio",7,
"agosto",8,
"septiembre",9,
"octubre",10,
"noviembre",11,
"diciembre",12)</f>
        <v>9</v>
      </c>
      <c r="H225">
        <v>5445330</v>
      </c>
      <c r="I225">
        <v>110</v>
      </c>
      <c r="J225">
        <v>401</v>
      </c>
      <c r="K225">
        <v>49503</v>
      </c>
    </row>
    <row r="226" spans="1:11" x14ac:dyDescent="0.25">
      <c r="A226" t="s">
        <v>37</v>
      </c>
      <c r="B226" t="s">
        <v>38</v>
      </c>
      <c r="C226" t="s">
        <v>20</v>
      </c>
      <c r="D226" t="s">
        <v>25</v>
      </c>
      <c r="E226">
        <v>8</v>
      </c>
      <c r="F226" t="s">
        <v>49</v>
      </c>
      <c r="G226" cm="1">
        <f t="array" ref="G226">_xlfn.SWITCH(LOWER(TRIM(F226)),
"enero",1,
"febrero",2,
"marzo",3,
"abril",4,
"mayo",5,
"junio",6,
"julio",7,
"agosto",8,
"septiembre",9,
"octubre",10,
"noviembre",11,
"diciembre",12)</f>
        <v>11</v>
      </c>
      <c r="H226">
        <v>5322538</v>
      </c>
      <c r="I226">
        <v>82</v>
      </c>
      <c r="J226">
        <v>642</v>
      </c>
      <c r="K226">
        <v>64909</v>
      </c>
    </row>
    <row r="227" spans="1:11" x14ac:dyDescent="0.25">
      <c r="A227" t="s">
        <v>10</v>
      </c>
      <c r="B227" t="s">
        <v>40</v>
      </c>
      <c r="C227" t="s">
        <v>12</v>
      </c>
      <c r="D227" t="s">
        <v>29</v>
      </c>
      <c r="E227">
        <v>25</v>
      </c>
      <c r="F227" t="s">
        <v>46</v>
      </c>
      <c r="G227" cm="1">
        <f t="array" ref="G227">_xlfn.SWITCH(LOWER(TRIM(F227)),
"enero",1,
"febrero",2,
"marzo",3,
"abril",4,
"mayo",5,
"junio",6,
"julio",7,
"agosto",8,
"septiembre",9,
"octubre",10,
"noviembre",11,
"diciembre",12)</f>
        <v>3</v>
      </c>
      <c r="H227">
        <v>4455704</v>
      </c>
      <c r="I227">
        <v>121</v>
      </c>
      <c r="J227">
        <v>570</v>
      </c>
      <c r="K227">
        <v>36824</v>
      </c>
    </row>
    <row r="228" spans="1:11" x14ac:dyDescent="0.25">
      <c r="A228" t="s">
        <v>37</v>
      </c>
      <c r="B228" t="s">
        <v>47</v>
      </c>
      <c r="C228" t="s">
        <v>42</v>
      </c>
      <c r="D228" t="s">
        <v>29</v>
      </c>
      <c r="E228">
        <v>9</v>
      </c>
      <c r="F228" t="s">
        <v>26</v>
      </c>
      <c r="G228" cm="1">
        <f t="array" ref="G228">_xlfn.SWITCH(LOWER(TRIM(F228)),
"enero",1,
"febrero",2,
"marzo",3,
"abril",4,
"mayo",5,
"junio",6,
"julio",7,
"agosto",8,
"septiembre",9,
"octubre",10,
"noviembre",11,
"diciembre",12)</f>
        <v>9</v>
      </c>
      <c r="H228">
        <v>6241500</v>
      </c>
      <c r="I228">
        <v>100</v>
      </c>
      <c r="J228">
        <v>553</v>
      </c>
      <c r="K228">
        <v>62415</v>
      </c>
    </row>
    <row r="229" spans="1:11" x14ac:dyDescent="0.25">
      <c r="A229" t="s">
        <v>18</v>
      </c>
      <c r="B229" t="s">
        <v>36</v>
      </c>
      <c r="C229" t="s">
        <v>20</v>
      </c>
      <c r="D229" t="s">
        <v>29</v>
      </c>
      <c r="E229">
        <v>47</v>
      </c>
      <c r="F229" t="s">
        <v>14</v>
      </c>
      <c r="G229" cm="1">
        <f t="array" ref="G229">_xlfn.SWITCH(LOWER(TRIM(F229)),
"enero",1,
"febrero",2,
"marzo",3,
"abril",4,
"mayo",5,
"junio",6,
"julio",7,
"agosto",8,
"septiembre",9,
"octubre",10,
"noviembre",11,
"diciembre",12)</f>
        <v>8</v>
      </c>
      <c r="H229">
        <v>4393764</v>
      </c>
      <c r="I229">
        <v>71</v>
      </c>
      <c r="J229">
        <v>200</v>
      </c>
      <c r="K229">
        <v>61884</v>
      </c>
    </row>
    <row r="230" spans="1:11" x14ac:dyDescent="0.25">
      <c r="A230" t="s">
        <v>15</v>
      </c>
      <c r="B230" t="s">
        <v>55</v>
      </c>
      <c r="C230" t="s">
        <v>42</v>
      </c>
      <c r="D230" t="s">
        <v>21</v>
      </c>
      <c r="E230">
        <v>13</v>
      </c>
      <c r="F230" t="s">
        <v>60</v>
      </c>
      <c r="G230" cm="1">
        <f t="array" ref="G230">_xlfn.SWITCH(LOWER(TRIM(F230)),
"enero",1,
"febrero",2,
"marzo",3,
"abril",4,
"mayo",5,
"junio",6,
"julio",7,
"agosto",8,
"septiembre",9,
"octubre",10,
"noviembre",11,
"diciembre",12)</f>
        <v>4</v>
      </c>
      <c r="H230">
        <v>9288916</v>
      </c>
      <c r="I230">
        <v>182</v>
      </c>
      <c r="J230">
        <v>410</v>
      </c>
      <c r="K230">
        <v>51038</v>
      </c>
    </row>
    <row r="231" spans="1:11" x14ac:dyDescent="0.25">
      <c r="A231" t="s">
        <v>15</v>
      </c>
      <c r="B231" t="s">
        <v>50</v>
      </c>
      <c r="C231" t="s">
        <v>20</v>
      </c>
      <c r="D231" t="s">
        <v>17</v>
      </c>
      <c r="E231">
        <v>9</v>
      </c>
      <c r="F231" t="s">
        <v>33</v>
      </c>
      <c r="G231" cm="1">
        <f t="array" ref="G231">_xlfn.SWITCH(LOWER(TRIM(F231)),
"enero",1,
"febrero",2,
"marzo",3,
"abril",4,
"mayo",5,
"junio",6,
"julio",7,
"agosto",8,
"septiembre",9,
"octubre",10,
"noviembre",11,
"diciembre",12)</f>
        <v>1</v>
      </c>
      <c r="H231">
        <v>11188948</v>
      </c>
      <c r="I231">
        <v>173</v>
      </c>
      <c r="J231">
        <v>26</v>
      </c>
      <c r="K231">
        <v>64676</v>
      </c>
    </row>
    <row r="232" spans="1:11" x14ac:dyDescent="0.25">
      <c r="A232" t="s">
        <v>37</v>
      </c>
      <c r="B232" t="s">
        <v>48</v>
      </c>
      <c r="C232" t="s">
        <v>20</v>
      </c>
      <c r="D232" t="s">
        <v>13</v>
      </c>
      <c r="E232">
        <v>4</v>
      </c>
      <c r="F232" t="s">
        <v>30</v>
      </c>
      <c r="G232" cm="1">
        <f t="array" ref="G232">_xlfn.SWITCH(LOWER(TRIM(F232)),
"enero",1,
"febrero",2,
"marzo",3,
"abril",4,
"mayo",5,
"junio",6,
"julio",7,
"agosto",8,
"septiembre",9,
"octubre",10,
"noviembre",11,
"diciembre",12)</f>
        <v>10</v>
      </c>
      <c r="H232">
        <v>9591800</v>
      </c>
      <c r="I232">
        <v>200</v>
      </c>
      <c r="J232">
        <v>594</v>
      </c>
      <c r="K232">
        <v>47959</v>
      </c>
    </row>
    <row r="233" spans="1:11" x14ac:dyDescent="0.25">
      <c r="A233" t="s">
        <v>10</v>
      </c>
      <c r="B233" t="s">
        <v>55</v>
      </c>
      <c r="C233" t="s">
        <v>42</v>
      </c>
      <c r="D233" t="s">
        <v>21</v>
      </c>
      <c r="E233">
        <v>39</v>
      </c>
      <c r="F233" t="s">
        <v>46</v>
      </c>
      <c r="G233" cm="1">
        <f t="array" ref="G233">_xlfn.SWITCH(LOWER(TRIM(F233)),
"enero",1,
"febrero",2,
"marzo",3,
"abril",4,
"mayo",5,
"junio",6,
"julio",7,
"agosto",8,
"septiembre",9,
"octubre",10,
"noviembre",11,
"diciembre",12)</f>
        <v>3</v>
      </c>
      <c r="H233">
        <v>11608545</v>
      </c>
      <c r="I233">
        <v>195</v>
      </c>
      <c r="J233">
        <v>437</v>
      </c>
      <c r="K233">
        <v>59531</v>
      </c>
    </row>
    <row r="234" spans="1:11" x14ac:dyDescent="0.25">
      <c r="A234" t="s">
        <v>37</v>
      </c>
      <c r="B234" t="s">
        <v>36</v>
      </c>
      <c r="C234" t="s">
        <v>20</v>
      </c>
      <c r="D234" t="s">
        <v>29</v>
      </c>
      <c r="E234">
        <v>31</v>
      </c>
      <c r="F234" t="s">
        <v>49</v>
      </c>
      <c r="G234" cm="1">
        <f t="array" ref="G234">_xlfn.SWITCH(LOWER(TRIM(F234)),
"enero",1,
"febrero",2,
"marzo",3,
"abril",4,
"mayo",5,
"junio",6,
"julio",7,
"agosto",8,
"septiembre",9,
"octubre",10,
"noviembre",11,
"diciembre",12)</f>
        <v>11</v>
      </c>
      <c r="H234">
        <v>6326218</v>
      </c>
      <c r="I234">
        <v>179</v>
      </c>
      <c r="J234">
        <v>293</v>
      </c>
      <c r="K234">
        <v>35342</v>
      </c>
    </row>
    <row r="235" spans="1:11" x14ac:dyDescent="0.25">
      <c r="A235" t="s">
        <v>31</v>
      </c>
      <c r="B235" t="s">
        <v>38</v>
      </c>
      <c r="C235" t="s">
        <v>20</v>
      </c>
      <c r="D235" t="s">
        <v>25</v>
      </c>
      <c r="E235">
        <v>16</v>
      </c>
      <c r="F235" t="s">
        <v>45</v>
      </c>
      <c r="G235" cm="1">
        <f t="array" ref="G235">_xlfn.SWITCH(LOWER(TRIM(F235)),
"enero",1,
"febrero",2,
"marzo",3,
"abril",4,
"mayo",5,
"junio",6,
"julio",7,
"agosto",8,
"septiembre",9,
"octubre",10,
"noviembre",11,
"diciembre",12)</f>
        <v>2</v>
      </c>
      <c r="H235">
        <v>10742550</v>
      </c>
      <c r="I235">
        <v>195</v>
      </c>
      <c r="J235">
        <v>825</v>
      </c>
      <c r="K235">
        <v>55090</v>
      </c>
    </row>
    <row r="236" spans="1:11" x14ac:dyDescent="0.25">
      <c r="A236" t="s">
        <v>10</v>
      </c>
      <c r="B236" t="s">
        <v>27</v>
      </c>
      <c r="C236" t="s">
        <v>28</v>
      </c>
      <c r="D236" t="s">
        <v>29</v>
      </c>
      <c r="E236">
        <v>11</v>
      </c>
      <c r="F236" t="s">
        <v>60</v>
      </c>
      <c r="G236" cm="1">
        <f t="array" ref="G236">_xlfn.SWITCH(LOWER(TRIM(F236)),
"enero",1,
"febrero",2,
"marzo",3,
"abril",4,
"mayo",5,
"junio",6,
"julio",7,
"agosto",8,
"septiembre",9,
"octubre",10,
"noviembre",11,
"diciembre",12)</f>
        <v>4</v>
      </c>
      <c r="H236">
        <v>8045631</v>
      </c>
      <c r="I236">
        <v>181</v>
      </c>
      <c r="J236">
        <v>623</v>
      </c>
      <c r="K236">
        <v>44451</v>
      </c>
    </row>
    <row r="237" spans="1:11" x14ac:dyDescent="0.25">
      <c r="A237" t="s">
        <v>10</v>
      </c>
      <c r="B237" t="s">
        <v>32</v>
      </c>
      <c r="C237" t="s">
        <v>28</v>
      </c>
      <c r="D237" t="s">
        <v>17</v>
      </c>
      <c r="E237">
        <v>28</v>
      </c>
      <c r="F237" t="s">
        <v>30</v>
      </c>
      <c r="G237" cm="1">
        <f t="array" ref="G237">_xlfn.SWITCH(LOWER(TRIM(F237)),
"enero",1,
"febrero",2,
"marzo",3,
"abril",4,
"mayo",5,
"junio",6,
"julio",7,
"agosto",8,
"septiembre",9,
"octubre",10,
"noviembre",11,
"diciembre",12)</f>
        <v>10</v>
      </c>
      <c r="H237">
        <v>7886148</v>
      </c>
      <c r="I237">
        <v>138</v>
      </c>
      <c r="J237">
        <v>621</v>
      </c>
      <c r="K237">
        <v>57146</v>
      </c>
    </row>
    <row r="238" spans="1:11" x14ac:dyDescent="0.25">
      <c r="A238" t="s">
        <v>15</v>
      </c>
      <c r="B238" t="s">
        <v>11</v>
      </c>
      <c r="C238" t="s">
        <v>12</v>
      </c>
      <c r="D238" t="s">
        <v>13</v>
      </c>
      <c r="E238">
        <v>13</v>
      </c>
      <c r="F238" t="s">
        <v>30</v>
      </c>
      <c r="G238" cm="1">
        <f t="array" ref="G238">_xlfn.SWITCH(LOWER(TRIM(F238)),
"enero",1,
"febrero",2,
"marzo",3,
"abril",4,
"mayo",5,
"junio",6,
"julio",7,
"agosto",8,
"septiembre",9,
"octubre",10,
"noviembre",11,
"diciembre",12)</f>
        <v>10</v>
      </c>
      <c r="H238">
        <v>1531360</v>
      </c>
      <c r="I238">
        <v>32</v>
      </c>
      <c r="J238">
        <v>451</v>
      </c>
      <c r="K238">
        <v>47855</v>
      </c>
    </row>
    <row r="239" spans="1:11" x14ac:dyDescent="0.25">
      <c r="A239" t="s">
        <v>15</v>
      </c>
      <c r="B239" t="s">
        <v>40</v>
      </c>
      <c r="C239" t="s">
        <v>12</v>
      </c>
      <c r="D239" t="s">
        <v>29</v>
      </c>
      <c r="E239">
        <v>10</v>
      </c>
      <c r="F239" t="s">
        <v>22</v>
      </c>
      <c r="G239" cm="1">
        <f t="array" ref="G239">_xlfn.SWITCH(LOWER(TRIM(F239)),
"enero",1,
"febrero",2,
"marzo",3,
"abril",4,
"mayo",5,
"junio",6,
"julio",7,
"agosto",8,
"septiembre",9,
"octubre",10,
"noviembre",11,
"diciembre",12)</f>
        <v>7</v>
      </c>
      <c r="H239">
        <v>2744274</v>
      </c>
      <c r="I239">
        <v>78</v>
      </c>
      <c r="J239">
        <v>209</v>
      </c>
      <c r="K239">
        <v>35183</v>
      </c>
    </row>
    <row r="240" spans="1:11" x14ac:dyDescent="0.25">
      <c r="A240" t="s">
        <v>18</v>
      </c>
      <c r="B240" t="s">
        <v>36</v>
      </c>
      <c r="C240" t="s">
        <v>20</v>
      </c>
      <c r="D240" t="s">
        <v>29</v>
      </c>
      <c r="E240">
        <v>42</v>
      </c>
      <c r="F240" t="s">
        <v>60</v>
      </c>
      <c r="G240" cm="1">
        <f t="array" ref="G240">_xlfn.SWITCH(LOWER(TRIM(F240)),
"enero",1,
"febrero",2,
"marzo",3,
"abril",4,
"mayo",5,
"junio",6,
"julio",7,
"agosto",8,
"septiembre",9,
"octubre",10,
"noviembre",11,
"diciembre",12)</f>
        <v>4</v>
      </c>
      <c r="H240">
        <v>8767578</v>
      </c>
      <c r="I240">
        <v>158</v>
      </c>
      <c r="J240">
        <v>545</v>
      </c>
      <c r="K240">
        <v>55491</v>
      </c>
    </row>
    <row r="241" spans="1:11" x14ac:dyDescent="0.25">
      <c r="A241" t="s">
        <v>37</v>
      </c>
      <c r="B241" t="s">
        <v>38</v>
      </c>
      <c r="C241" t="s">
        <v>20</v>
      </c>
      <c r="D241" t="s">
        <v>25</v>
      </c>
      <c r="E241">
        <v>31</v>
      </c>
      <c r="F241" t="s">
        <v>26</v>
      </c>
      <c r="G241" cm="1">
        <f t="array" ref="G241">_xlfn.SWITCH(LOWER(TRIM(F241)),
"enero",1,
"febrero",2,
"marzo",3,
"abril",4,
"mayo",5,
"junio",6,
"julio",7,
"agosto",8,
"septiembre",9,
"octubre",10,
"noviembre",11,
"diciembre",12)</f>
        <v>9</v>
      </c>
      <c r="H241">
        <v>11522000</v>
      </c>
      <c r="I241">
        <v>200</v>
      </c>
      <c r="J241">
        <v>821</v>
      </c>
      <c r="K241">
        <v>57610</v>
      </c>
    </row>
    <row r="242" spans="1:11" x14ac:dyDescent="0.25">
      <c r="A242" t="s">
        <v>15</v>
      </c>
      <c r="B242" t="s">
        <v>36</v>
      </c>
      <c r="C242" t="s">
        <v>20</v>
      </c>
      <c r="D242" t="s">
        <v>29</v>
      </c>
      <c r="E242">
        <v>35</v>
      </c>
      <c r="F242" t="s">
        <v>26</v>
      </c>
      <c r="G242" cm="1">
        <f t="array" ref="G242">_xlfn.SWITCH(LOWER(TRIM(F242)),
"enero",1,
"febrero",2,
"marzo",3,
"abril",4,
"mayo",5,
"junio",6,
"julio",7,
"agosto",8,
"septiembre",9,
"octubre",10,
"noviembre",11,
"diciembre",12)</f>
        <v>9</v>
      </c>
      <c r="H242">
        <v>7438542</v>
      </c>
      <c r="I242">
        <v>194</v>
      </c>
      <c r="J242">
        <v>498</v>
      </c>
      <c r="K242">
        <v>38343</v>
      </c>
    </row>
    <row r="243" spans="1:11" x14ac:dyDescent="0.25">
      <c r="A243" t="s">
        <v>37</v>
      </c>
      <c r="B243" t="s">
        <v>50</v>
      </c>
      <c r="C243" t="s">
        <v>20</v>
      </c>
      <c r="D243" t="s">
        <v>17</v>
      </c>
      <c r="E243">
        <v>42</v>
      </c>
      <c r="F243" t="s">
        <v>60</v>
      </c>
      <c r="G243" cm="1">
        <f t="array" ref="G243">_xlfn.SWITCH(LOWER(TRIM(F243)),
"enero",1,
"febrero",2,
"marzo",3,
"abril",4,
"mayo",5,
"junio",6,
"julio",7,
"agosto",8,
"septiembre",9,
"octubre",10,
"noviembre",11,
"diciembre",12)</f>
        <v>4</v>
      </c>
      <c r="H243">
        <v>1831880</v>
      </c>
      <c r="I243">
        <v>41</v>
      </c>
      <c r="J243">
        <v>27</v>
      </c>
      <c r="K243">
        <v>44680</v>
      </c>
    </row>
    <row r="244" spans="1:11" x14ac:dyDescent="0.25">
      <c r="A244" t="s">
        <v>37</v>
      </c>
      <c r="B244" t="s">
        <v>47</v>
      </c>
      <c r="C244" t="s">
        <v>42</v>
      </c>
      <c r="D244" t="s">
        <v>29</v>
      </c>
      <c r="E244">
        <v>6</v>
      </c>
      <c r="F244" t="s">
        <v>46</v>
      </c>
      <c r="G244" cm="1">
        <f t="array" ref="G244">_xlfn.SWITCH(LOWER(TRIM(F244)),
"enero",1,
"febrero",2,
"marzo",3,
"abril",4,
"mayo",5,
"junio",6,
"julio",7,
"agosto",8,
"septiembre",9,
"octubre",10,
"noviembre",11,
"diciembre",12)</f>
        <v>3</v>
      </c>
      <c r="H244">
        <v>9287840</v>
      </c>
      <c r="I244">
        <v>160</v>
      </c>
      <c r="J244">
        <v>795</v>
      </c>
      <c r="K244">
        <v>58049</v>
      </c>
    </row>
    <row r="245" spans="1:11" x14ac:dyDescent="0.25">
      <c r="A245" t="s">
        <v>18</v>
      </c>
      <c r="B245" t="s">
        <v>54</v>
      </c>
      <c r="C245" t="s">
        <v>28</v>
      </c>
      <c r="D245" t="s">
        <v>21</v>
      </c>
      <c r="E245">
        <v>8</v>
      </c>
      <c r="F245" t="s">
        <v>46</v>
      </c>
      <c r="G245" cm="1">
        <f t="array" ref="G245">_xlfn.SWITCH(LOWER(TRIM(F245)),
"enero",1,
"febrero",2,
"marzo",3,
"abril",4,
"mayo",5,
"junio",6,
"julio",7,
"agosto",8,
"septiembre",9,
"octubre",10,
"noviembre",11,
"diciembre",12)</f>
        <v>3</v>
      </c>
      <c r="H245">
        <v>3813147</v>
      </c>
      <c r="I245">
        <v>69</v>
      </c>
      <c r="J245">
        <v>495</v>
      </c>
      <c r="K245">
        <v>55263</v>
      </c>
    </row>
    <row r="246" spans="1:11" x14ac:dyDescent="0.25">
      <c r="A246" t="s">
        <v>31</v>
      </c>
      <c r="B246" t="s">
        <v>44</v>
      </c>
      <c r="C246" t="s">
        <v>42</v>
      </c>
      <c r="D246" t="s">
        <v>13</v>
      </c>
      <c r="E246">
        <v>26</v>
      </c>
      <c r="F246" t="s">
        <v>46</v>
      </c>
      <c r="G246" cm="1">
        <f t="array" ref="G246">_xlfn.SWITCH(LOWER(TRIM(F246)),
"enero",1,
"febrero",2,
"marzo",3,
"abril",4,
"mayo",5,
"junio",6,
"julio",7,
"agosto",8,
"septiembre",9,
"octubre",10,
"noviembre",11,
"diciembre",12)</f>
        <v>3</v>
      </c>
      <c r="H246">
        <v>3147174</v>
      </c>
      <c r="I246">
        <v>81</v>
      </c>
      <c r="J246">
        <v>695</v>
      </c>
      <c r="K246">
        <v>38854</v>
      </c>
    </row>
    <row r="247" spans="1:11" x14ac:dyDescent="0.25">
      <c r="A247" t="s">
        <v>37</v>
      </c>
      <c r="B247" t="s">
        <v>48</v>
      </c>
      <c r="C247" t="s">
        <v>20</v>
      </c>
      <c r="D247" t="s">
        <v>13</v>
      </c>
      <c r="E247">
        <v>17</v>
      </c>
      <c r="F247" t="s">
        <v>43</v>
      </c>
      <c r="G247" cm="1">
        <f t="array" ref="G247">_xlfn.SWITCH(LOWER(TRIM(F247)),
"enero",1,
"febrero",2,
"marzo",3,
"abril",4,
"mayo",5,
"junio",6,
"julio",7,
"agosto",8,
"septiembre",9,
"octubre",10,
"noviembre",11,
"diciembre",12)</f>
        <v>5</v>
      </c>
      <c r="H247">
        <v>4332163</v>
      </c>
      <c r="I247">
        <v>121</v>
      </c>
      <c r="J247">
        <v>573</v>
      </c>
      <c r="K247">
        <v>35803</v>
      </c>
    </row>
    <row r="248" spans="1:11" x14ac:dyDescent="0.25">
      <c r="A248" t="s">
        <v>18</v>
      </c>
      <c r="B248" t="s">
        <v>16</v>
      </c>
      <c r="C248" t="s">
        <v>12</v>
      </c>
      <c r="D248" t="s">
        <v>17</v>
      </c>
      <c r="E248">
        <v>1</v>
      </c>
      <c r="F248" t="s">
        <v>14</v>
      </c>
      <c r="G248" cm="1">
        <f t="array" ref="G248">_xlfn.SWITCH(LOWER(TRIM(F248)),
"enero",1,
"febrero",2,
"marzo",3,
"abril",4,
"mayo",5,
"junio",6,
"julio",7,
"agosto",8,
"septiembre",9,
"octubre",10,
"noviembre",11,
"diciembre",12)</f>
        <v>8</v>
      </c>
      <c r="H248">
        <v>9575061</v>
      </c>
      <c r="I248">
        <v>151</v>
      </c>
      <c r="J248">
        <v>486</v>
      </c>
      <c r="K248">
        <v>63411</v>
      </c>
    </row>
    <row r="249" spans="1:11" x14ac:dyDescent="0.25">
      <c r="A249" t="s">
        <v>10</v>
      </c>
      <c r="B249" t="s">
        <v>19</v>
      </c>
      <c r="C249" t="s">
        <v>20</v>
      </c>
      <c r="D249" t="s">
        <v>21</v>
      </c>
      <c r="E249">
        <v>20</v>
      </c>
      <c r="F249" t="s">
        <v>43</v>
      </c>
      <c r="G249" cm="1">
        <f t="array" ref="G249">_xlfn.SWITCH(LOWER(TRIM(F249)),
"enero",1,
"febrero",2,
"marzo",3,
"abril",4,
"mayo",5,
"junio",6,
"julio",7,
"agosto",8,
"septiembre",9,
"octubre",10,
"noviembre",11,
"diciembre",12)</f>
        <v>5</v>
      </c>
      <c r="H249">
        <v>7585812</v>
      </c>
      <c r="I249">
        <v>162</v>
      </c>
      <c r="J249">
        <v>736</v>
      </c>
      <c r="K249">
        <v>46826</v>
      </c>
    </row>
    <row r="250" spans="1:11" x14ac:dyDescent="0.25">
      <c r="A250" t="s">
        <v>15</v>
      </c>
      <c r="B250" t="s">
        <v>40</v>
      </c>
      <c r="C250" t="s">
        <v>12</v>
      </c>
      <c r="D250" t="s">
        <v>29</v>
      </c>
      <c r="E250">
        <v>27</v>
      </c>
      <c r="F250" t="s">
        <v>26</v>
      </c>
      <c r="G250" cm="1">
        <f t="array" ref="G250">_xlfn.SWITCH(LOWER(TRIM(F250)),
"enero",1,
"febrero",2,
"marzo",3,
"abril",4,
"mayo",5,
"junio",6,
"julio",7,
"agosto",8,
"septiembre",9,
"octubre",10,
"noviembre",11,
"diciembre",12)</f>
        <v>9</v>
      </c>
      <c r="H250">
        <v>11071866</v>
      </c>
      <c r="I250">
        <v>179</v>
      </c>
      <c r="J250">
        <v>309</v>
      </c>
      <c r="K250">
        <v>61854</v>
      </c>
    </row>
    <row r="251" spans="1:11" x14ac:dyDescent="0.25">
      <c r="A251" t="s">
        <v>37</v>
      </c>
      <c r="B251" t="s">
        <v>58</v>
      </c>
      <c r="C251" t="s">
        <v>12</v>
      </c>
      <c r="D251" t="s">
        <v>21</v>
      </c>
      <c r="E251">
        <v>42</v>
      </c>
      <c r="F251" t="s">
        <v>33</v>
      </c>
      <c r="G251" cm="1">
        <f t="array" ref="G251">_xlfn.SWITCH(LOWER(TRIM(F251)),
"enero",1,
"febrero",2,
"marzo",3,
"abril",4,
"mayo",5,
"junio",6,
"julio",7,
"agosto",8,
"septiembre",9,
"octubre",10,
"noviembre",11,
"diciembre",12)</f>
        <v>1</v>
      </c>
      <c r="H251">
        <v>4747050</v>
      </c>
      <c r="I251">
        <v>77</v>
      </c>
      <c r="J251">
        <v>809</v>
      </c>
      <c r="K251">
        <v>61650</v>
      </c>
    </row>
    <row r="252" spans="1:11" x14ac:dyDescent="0.25">
      <c r="A252" t="s">
        <v>31</v>
      </c>
      <c r="B252" t="s">
        <v>32</v>
      </c>
      <c r="C252" t="s">
        <v>28</v>
      </c>
      <c r="D252" t="s">
        <v>17</v>
      </c>
      <c r="E252">
        <v>34</v>
      </c>
      <c r="F252" t="s">
        <v>46</v>
      </c>
      <c r="G252" cm="1">
        <f t="array" ref="G252">_xlfn.SWITCH(LOWER(TRIM(F252)),
"enero",1,
"febrero",2,
"marzo",3,
"abril",4,
"mayo",5,
"junio",6,
"julio",7,
"agosto",8,
"septiembre",9,
"octubre",10,
"noviembre",11,
"diciembre",12)</f>
        <v>3</v>
      </c>
      <c r="H252">
        <v>8978618</v>
      </c>
      <c r="I252">
        <v>187</v>
      </c>
      <c r="J252">
        <v>177</v>
      </c>
      <c r="K252">
        <v>48014</v>
      </c>
    </row>
    <row r="253" spans="1:11" x14ac:dyDescent="0.25">
      <c r="A253" t="s">
        <v>10</v>
      </c>
      <c r="B253" t="s">
        <v>52</v>
      </c>
      <c r="C253" t="s">
        <v>24</v>
      </c>
      <c r="D253" t="s">
        <v>13</v>
      </c>
      <c r="E253">
        <v>4</v>
      </c>
      <c r="F253" t="s">
        <v>35</v>
      </c>
      <c r="G253" cm="1">
        <f t="array" ref="G253">_xlfn.SWITCH(LOWER(TRIM(F253)),
"enero",1,
"febrero",2,
"marzo",3,
"abril",4,
"mayo",5,
"junio",6,
"julio",7,
"agosto",8,
"septiembre",9,
"octubre",10,
"noviembre",11,
"diciembre",12)</f>
        <v>6</v>
      </c>
      <c r="H253">
        <v>6362930</v>
      </c>
      <c r="I253">
        <v>119</v>
      </c>
      <c r="J253">
        <v>514</v>
      </c>
      <c r="K253">
        <v>53470</v>
      </c>
    </row>
    <row r="254" spans="1:11" x14ac:dyDescent="0.25">
      <c r="A254" t="s">
        <v>15</v>
      </c>
      <c r="B254" t="s">
        <v>57</v>
      </c>
      <c r="C254" t="s">
        <v>42</v>
      </c>
      <c r="D254" t="s">
        <v>17</v>
      </c>
      <c r="E254">
        <v>43</v>
      </c>
      <c r="F254" t="s">
        <v>30</v>
      </c>
      <c r="G254" cm="1">
        <f t="array" ref="G254">_xlfn.SWITCH(LOWER(TRIM(F254)),
"enero",1,
"febrero",2,
"marzo",3,
"abril",4,
"mayo",5,
"junio",6,
"julio",7,
"agosto",8,
"septiembre",9,
"octubre",10,
"noviembre",11,
"diciembre",12)</f>
        <v>10</v>
      </c>
      <c r="H254">
        <v>4027050</v>
      </c>
      <c r="I254">
        <v>90</v>
      </c>
      <c r="J254">
        <v>444</v>
      </c>
      <c r="K254">
        <v>44745</v>
      </c>
    </row>
    <row r="255" spans="1:11" x14ac:dyDescent="0.25">
      <c r="A255" t="s">
        <v>10</v>
      </c>
      <c r="B255" t="s">
        <v>19</v>
      </c>
      <c r="C255" t="s">
        <v>20</v>
      </c>
      <c r="D255" t="s">
        <v>21</v>
      </c>
      <c r="E255">
        <v>45</v>
      </c>
      <c r="F255" t="s">
        <v>39</v>
      </c>
      <c r="G255" cm="1">
        <f t="array" ref="G255">_xlfn.SWITCH(LOWER(TRIM(F255)),
"enero",1,
"febrero",2,
"marzo",3,
"abril",4,
"mayo",5,
"junio",6,
"julio",7,
"agosto",8,
"septiembre",9,
"octubre",10,
"noviembre",11,
"diciembre",12)</f>
        <v>12</v>
      </c>
      <c r="H255">
        <v>4611446</v>
      </c>
      <c r="I255">
        <v>89</v>
      </c>
      <c r="J255">
        <v>370</v>
      </c>
      <c r="K255">
        <v>51814</v>
      </c>
    </row>
    <row r="256" spans="1:11" x14ac:dyDescent="0.25">
      <c r="A256" t="s">
        <v>31</v>
      </c>
      <c r="B256" t="s">
        <v>19</v>
      </c>
      <c r="C256" t="s">
        <v>20</v>
      </c>
      <c r="D256" t="s">
        <v>21</v>
      </c>
      <c r="E256">
        <v>24</v>
      </c>
      <c r="F256" t="s">
        <v>30</v>
      </c>
      <c r="G256" cm="1">
        <f t="array" ref="G256">_xlfn.SWITCH(LOWER(TRIM(F256)),
"enero",1,
"febrero",2,
"marzo",3,
"abril",4,
"mayo",5,
"junio",6,
"julio",7,
"agosto",8,
"septiembre",9,
"octubre",10,
"noviembre",11,
"diciembre",12)</f>
        <v>10</v>
      </c>
      <c r="H256">
        <v>11703098</v>
      </c>
      <c r="I256">
        <v>181</v>
      </c>
      <c r="J256">
        <v>19</v>
      </c>
      <c r="K256">
        <v>64658</v>
      </c>
    </row>
    <row r="257" spans="1:11" x14ac:dyDescent="0.25">
      <c r="A257" t="s">
        <v>31</v>
      </c>
      <c r="B257" t="s">
        <v>51</v>
      </c>
      <c r="C257" t="s">
        <v>24</v>
      </c>
      <c r="D257" t="s">
        <v>21</v>
      </c>
      <c r="E257">
        <v>48</v>
      </c>
      <c r="F257" t="s">
        <v>49</v>
      </c>
      <c r="G257" cm="1">
        <f t="array" ref="G257">_xlfn.SWITCH(LOWER(TRIM(F257)),
"enero",1,
"febrero",2,
"marzo",3,
"abril",4,
"mayo",5,
"junio",6,
"julio",7,
"agosto",8,
"septiembre",9,
"octubre",10,
"noviembre",11,
"diciembre",12)</f>
        <v>11</v>
      </c>
      <c r="H257">
        <v>10521420</v>
      </c>
      <c r="I257">
        <v>188</v>
      </c>
      <c r="J257">
        <v>56</v>
      </c>
      <c r="K257">
        <v>55965</v>
      </c>
    </row>
    <row r="258" spans="1:11" x14ac:dyDescent="0.25">
      <c r="A258" t="s">
        <v>18</v>
      </c>
      <c r="B258" t="s">
        <v>23</v>
      </c>
      <c r="C258" t="s">
        <v>24</v>
      </c>
      <c r="D258" t="s">
        <v>25</v>
      </c>
      <c r="E258">
        <v>14</v>
      </c>
      <c r="F258" t="s">
        <v>43</v>
      </c>
      <c r="G258" cm="1">
        <f t="array" ref="G258">_xlfn.SWITCH(LOWER(TRIM(F258)),
"enero",1,
"febrero",2,
"marzo",3,
"abril",4,
"mayo",5,
"junio",6,
"julio",7,
"agosto",8,
"septiembre",9,
"octubre",10,
"noviembre",11,
"diciembre",12)</f>
        <v>5</v>
      </c>
      <c r="H258">
        <v>3205916</v>
      </c>
      <c r="I258">
        <v>61</v>
      </c>
      <c r="J258">
        <v>173</v>
      </c>
      <c r="K258">
        <v>52556</v>
      </c>
    </row>
    <row r="259" spans="1:11" x14ac:dyDescent="0.25">
      <c r="A259" t="s">
        <v>37</v>
      </c>
      <c r="B259" t="s">
        <v>48</v>
      </c>
      <c r="C259" t="s">
        <v>20</v>
      </c>
      <c r="D259" t="s">
        <v>13</v>
      </c>
      <c r="E259">
        <v>24</v>
      </c>
      <c r="F259" t="s">
        <v>14</v>
      </c>
      <c r="G259" cm="1">
        <f t="array" ref="G259">_xlfn.SWITCH(LOWER(TRIM(F259)),
"enero",1,
"febrero",2,
"marzo",3,
"abril",4,
"mayo",5,
"junio",6,
"julio",7,
"agosto",8,
"septiembre",9,
"octubre",10,
"noviembre",11,
"diciembre",12)</f>
        <v>8</v>
      </c>
      <c r="H259">
        <v>7747278</v>
      </c>
      <c r="I259">
        <v>154</v>
      </c>
      <c r="J259">
        <v>294</v>
      </c>
      <c r="K259">
        <v>50307</v>
      </c>
    </row>
    <row r="260" spans="1:11" x14ac:dyDescent="0.25">
      <c r="A260" t="s">
        <v>31</v>
      </c>
      <c r="B260" t="s">
        <v>38</v>
      </c>
      <c r="C260" t="s">
        <v>20</v>
      </c>
      <c r="D260" t="s">
        <v>25</v>
      </c>
      <c r="E260">
        <v>25</v>
      </c>
      <c r="F260" t="s">
        <v>60</v>
      </c>
      <c r="G260" cm="1">
        <f t="array" ref="G260">_xlfn.SWITCH(LOWER(TRIM(F260)),
"enero",1,
"febrero",2,
"marzo",3,
"abril",4,
"mayo",5,
"junio",6,
"julio",7,
"agosto",8,
"septiembre",9,
"octubre",10,
"noviembre",11,
"diciembre",12)</f>
        <v>4</v>
      </c>
      <c r="H260">
        <v>3731382</v>
      </c>
      <c r="I260">
        <v>69</v>
      </c>
      <c r="J260">
        <v>209</v>
      </c>
      <c r="K260">
        <v>54078</v>
      </c>
    </row>
    <row r="261" spans="1:11" x14ac:dyDescent="0.25">
      <c r="A261" t="s">
        <v>31</v>
      </c>
      <c r="B261" t="s">
        <v>59</v>
      </c>
      <c r="C261" t="s">
        <v>12</v>
      </c>
      <c r="D261" t="s">
        <v>25</v>
      </c>
      <c r="E261">
        <v>43</v>
      </c>
      <c r="F261" t="s">
        <v>45</v>
      </c>
      <c r="G261" cm="1">
        <f t="array" ref="G261">_xlfn.SWITCH(LOWER(TRIM(F261)),
"enero",1,
"febrero",2,
"marzo",3,
"abril",4,
"mayo",5,
"junio",6,
"julio",7,
"agosto",8,
"septiembre",9,
"octubre",10,
"noviembre",11,
"diciembre",12)</f>
        <v>2</v>
      </c>
      <c r="H261">
        <v>6812652</v>
      </c>
      <c r="I261">
        <v>154</v>
      </c>
      <c r="J261">
        <v>773</v>
      </c>
      <c r="K261">
        <v>44238</v>
      </c>
    </row>
    <row r="262" spans="1:11" x14ac:dyDescent="0.25">
      <c r="A262" t="s">
        <v>10</v>
      </c>
      <c r="B262" t="s">
        <v>38</v>
      </c>
      <c r="C262" t="s">
        <v>20</v>
      </c>
      <c r="D262" t="s">
        <v>25</v>
      </c>
      <c r="E262">
        <v>44</v>
      </c>
      <c r="F262" t="s">
        <v>43</v>
      </c>
      <c r="G262" cm="1">
        <f t="array" ref="G262">_xlfn.SWITCH(LOWER(TRIM(F262)),
"enero",1,
"febrero",2,
"marzo",3,
"abril",4,
"mayo",5,
"junio",6,
"julio",7,
"agosto",8,
"septiembre",9,
"octubre",10,
"noviembre",11,
"diciembre",12)</f>
        <v>5</v>
      </c>
      <c r="H262">
        <v>5324830</v>
      </c>
      <c r="I262">
        <v>98</v>
      </c>
      <c r="J262">
        <v>47</v>
      </c>
      <c r="K262">
        <v>54335</v>
      </c>
    </row>
    <row r="263" spans="1:11" x14ac:dyDescent="0.25">
      <c r="A263" t="s">
        <v>18</v>
      </c>
      <c r="B263" t="s">
        <v>56</v>
      </c>
      <c r="C263" t="s">
        <v>24</v>
      </c>
      <c r="D263" t="s">
        <v>17</v>
      </c>
      <c r="E263">
        <v>46</v>
      </c>
      <c r="F263" t="s">
        <v>14</v>
      </c>
      <c r="G263" cm="1">
        <f t="array" ref="G263">_xlfn.SWITCH(LOWER(TRIM(F263)),
"enero",1,
"febrero",2,
"marzo",3,
"abril",4,
"mayo",5,
"junio",6,
"julio",7,
"agosto",8,
"septiembre",9,
"octubre",10,
"noviembre",11,
"diciembre",12)</f>
        <v>8</v>
      </c>
      <c r="H263">
        <v>11502216</v>
      </c>
      <c r="I263">
        <v>188</v>
      </c>
      <c r="J263">
        <v>627</v>
      </c>
      <c r="K263">
        <v>61182</v>
      </c>
    </row>
    <row r="264" spans="1:11" x14ac:dyDescent="0.25">
      <c r="A264" t="s">
        <v>15</v>
      </c>
      <c r="B264" t="s">
        <v>27</v>
      </c>
      <c r="C264" t="s">
        <v>28</v>
      </c>
      <c r="D264" t="s">
        <v>29</v>
      </c>
      <c r="E264">
        <v>21</v>
      </c>
      <c r="F264" t="s">
        <v>49</v>
      </c>
      <c r="G264" cm="1">
        <f t="array" ref="G264">_xlfn.SWITCH(LOWER(TRIM(F264)),
"enero",1,
"febrero",2,
"marzo",3,
"abril",4,
"mayo",5,
"junio",6,
"julio",7,
"agosto",8,
"septiembre",9,
"octubre",10,
"noviembre",11,
"diciembre",12)</f>
        <v>11</v>
      </c>
      <c r="H264">
        <v>1915350</v>
      </c>
      <c r="I264">
        <v>50</v>
      </c>
      <c r="J264">
        <v>96</v>
      </c>
      <c r="K264">
        <v>38307</v>
      </c>
    </row>
    <row r="265" spans="1:11" x14ac:dyDescent="0.25">
      <c r="A265" t="s">
        <v>15</v>
      </c>
      <c r="B265" t="s">
        <v>19</v>
      </c>
      <c r="C265" t="s">
        <v>20</v>
      </c>
      <c r="D265" t="s">
        <v>21</v>
      </c>
      <c r="E265">
        <v>21</v>
      </c>
      <c r="F265" t="s">
        <v>35</v>
      </c>
      <c r="G265" cm="1">
        <f t="array" ref="G265">_xlfn.SWITCH(LOWER(TRIM(F265)),
"enero",1,
"febrero",2,
"marzo",3,
"abril",4,
"mayo",5,
"junio",6,
"julio",7,
"agosto",8,
"septiembre",9,
"octubre",10,
"noviembre",11,
"diciembre",12)</f>
        <v>6</v>
      </c>
      <c r="H265">
        <v>8618728</v>
      </c>
      <c r="I265">
        <v>136</v>
      </c>
      <c r="J265">
        <v>676</v>
      </c>
      <c r="K265">
        <v>63373</v>
      </c>
    </row>
    <row r="266" spans="1:11" x14ac:dyDescent="0.25">
      <c r="A266" t="s">
        <v>37</v>
      </c>
      <c r="B266" t="s">
        <v>54</v>
      </c>
      <c r="C266" t="s">
        <v>28</v>
      </c>
      <c r="D266" t="s">
        <v>21</v>
      </c>
      <c r="E266">
        <v>19</v>
      </c>
      <c r="F266" t="s">
        <v>43</v>
      </c>
      <c r="G266" cm="1">
        <f t="array" ref="G266">_xlfn.SWITCH(LOWER(TRIM(F266)),
"enero",1,
"febrero",2,
"marzo",3,
"abril",4,
"mayo",5,
"junio",6,
"julio",7,
"agosto",8,
"septiembre",9,
"octubre",10,
"noviembre",11,
"diciembre",12)</f>
        <v>5</v>
      </c>
      <c r="H266">
        <v>6255195</v>
      </c>
      <c r="I266">
        <v>115</v>
      </c>
      <c r="J266">
        <v>472</v>
      </c>
      <c r="K266">
        <v>54393</v>
      </c>
    </row>
    <row r="267" spans="1:11" x14ac:dyDescent="0.25">
      <c r="A267" t="s">
        <v>31</v>
      </c>
      <c r="B267" t="s">
        <v>41</v>
      </c>
      <c r="C267" t="s">
        <v>42</v>
      </c>
      <c r="D267" t="s">
        <v>25</v>
      </c>
      <c r="E267">
        <v>1</v>
      </c>
      <c r="F267" t="s">
        <v>30</v>
      </c>
      <c r="G267" cm="1">
        <f t="array" ref="G267">_xlfn.SWITCH(LOWER(TRIM(F267)),
"enero",1,
"febrero",2,
"marzo",3,
"abril",4,
"mayo",5,
"junio",6,
"julio",7,
"agosto",8,
"septiembre",9,
"octubre",10,
"noviembre",11,
"diciembre",12)</f>
        <v>10</v>
      </c>
      <c r="H267">
        <v>7045248</v>
      </c>
      <c r="I267">
        <v>112</v>
      </c>
      <c r="J267">
        <v>429</v>
      </c>
      <c r="K267">
        <v>62904</v>
      </c>
    </row>
    <row r="268" spans="1:11" x14ac:dyDescent="0.25">
      <c r="A268" t="s">
        <v>18</v>
      </c>
      <c r="B268" t="s">
        <v>52</v>
      </c>
      <c r="C268" t="s">
        <v>24</v>
      </c>
      <c r="D268" t="s">
        <v>13</v>
      </c>
      <c r="E268">
        <v>44</v>
      </c>
      <c r="F268" t="s">
        <v>30</v>
      </c>
      <c r="G268" cm="1">
        <f t="array" ref="G268">_xlfn.SWITCH(LOWER(TRIM(F268)),
"enero",1,
"febrero",2,
"marzo",3,
"abril",4,
"mayo",5,
"junio",6,
"julio",7,
"agosto",8,
"septiembre",9,
"octubre",10,
"noviembre",11,
"diciembre",12)</f>
        <v>10</v>
      </c>
      <c r="H268">
        <v>8679474</v>
      </c>
      <c r="I268">
        <v>162</v>
      </c>
      <c r="J268">
        <v>141</v>
      </c>
      <c r="K268">
        <v>53577</v>
      </c>
    </row>
    <row r="269" spans="1:11" x14ac:dyDescent="0.25">
      <c r="A269" t="s">
        <v>15</v>
      </c>
      <c r="B269" t="s">
        <v>58</v>
      </c>
      <c r="C269" t="s">
        <v>12</v>
      </c>
      <c r="D269" t="s">
        <v>21</v>
      </c>
      <c r="E269">
        <v>19</v>
      </c>
      <c r="F269" t="s">
        <v>43</v>
      </c>
      <c r="G269" cm="1">
        <f t="array" ref="G269">_xlfn.SWITCH(LOWER(TRIM(F269)),
"enero",1,
"febrero",2,
"marzo",3,
"abril",4,
"mayo",5,
"junio",6,
"julio",7,
"agosto",8,
"septiembre",9,
"octubre",10,
"noviembre",11,
"diciembre",12)</f>
        <v>5</v>
      </c>
      <c r="H269">
        <v>10261176</v>
      </c>
      <c r="I269">
        <v>172</v>
      </c>
      <c r="J269">
        <v>342</v>
      </c>
      <c r="K269">
        <v>59658</v>
      </c>
    </row>
    <row r="270" spans="1:11" x14ac:dyDescent="0.25">
      <c r="A270" t="s">
        <v>18</v>
      </c>
      <c r="B270" t="s">
        <v>11</v>
      </c>
      <c r="C270" t="s">
        <v>12</v>
      </c>
      <c r="D270" t="s">
        <v>13</v>
      </c>
      <c r="E270">
        <v>24</v>
      </c>
      <c r="F270" t="s">
        <v>22</v>
      </c>
      <c r="G270" cm="1">
        <f t="array" ref="G270">_xlfn.SWITCH(LOWER(TRIM(F270)),
"enero",1,
"febrero",2,
"marzo",3,
"abril",4,
"mayo",5,
"junio",6,
"julio",7,
"agosto",8,
"septiembre",9,
"octubre",10,
"noviembre",11,
"diciembre",12)</f>
        <v>7</v>
      </c>
      <c r="H270">
        <v>7837344</v>
      </c>
      <c r="I270">
        <v>188</v>
      </c>
      <c r="J270">
        <v>871</v>
      </c>
      <c r="K270">
        <v>41688</v>
      </c>
    </row>
    <row r="271" spans="1:11" x14ac:dyDescent="0.25">
      <c r="A271" t="s">
        <v>37</v>
      </c>
      <c r="B271" t="s">
        <v>48</v>
      </c>
      <c r="C271" t="s">
        <v>20</v>
      </c>
      <c r="D271" t="s">
        <v>13</v>
      </c>
      <c r="E271">
        <v>32</v>
      </c>
      <c r="F271" t="s">
        <v>22</v>
      </c>
      <c r="G271" cm="1">
        <f t="array" ref="G271">_xlfn.SWITCH(LOWER(TRIM(F271)),
"enero",1,
"febrero",2,
"marzo",3,
"abril",4,
"mayo",5,
"junio",6,
"julio",7,
"agosto",8,
"septiembre",9,
"octubre",10,
"noviembre",11,
"diciembre",12)</f>
        <v>7</v>
      </c>
      <c r="H271">
        <v>3802955</v>
      </c>
      <c r="I271">
        <v>65</v>
      </c>
      <c r="J271">
        <v>188</v>
      </c>
      <c r="K271">
        <v>58507</v>
      </c>
    </row>
    <row r="272" spans="1:11" x14ac:dyDescent="0.25">
      <c r="A272" t="s">
        <v>31</v>
      </c>
      <c r="B272" t="s">
        <v>55</v>
      </c>
      <c r="C272" t="s">
        <v>42</v>
      </c>
      <c r="D272" t="s">
        <v>21</v>
      </c>
      <c r="E272">
        <v>22</v>
      </c>
      <c r="F272" t="s">
        <v>33</v>
      </c>
      <c r="G272" cm="1">
        <f t="array" ref="G272">_xlfn.SWITCH(LOWER(TRIM(F272)),
"enero",1,
"febrero",2,
"marzo",3,
"abril",4,
"mayo",5,
"junio",6,
"julio",7,
"agosto",8,
"septiembre",9,
"octubre",10,
"noviembre",11,
"diciembre",12)</f>
        <v>1</v>
      </c>
      <c r="H272">
        <v>1508527</v>
      </c>
      <c r="I272">
        <v>37</v>
      </c>
      <c r="J272">
        <v>785</v>
      </c>
      <c r="K272">
        <v>40771</v>
      </c>
    </row>
    <row r="273" spans="1:11" x14ac:dyDescent="0.25">
      <c r="A273" t="s">
        <v>10</v>
      </c>
      <c r="B273" t="s">
        <v>44</v>
      </c>
      <c r="C273" t="s">
        <v>42</v>
      </c>
      <c r="D273" t="s">
        <v>13</v>
      </c>
      <c r="E273">
        <v>36</v>
      </c>
      <c r="F273" t="s">
        <v>30</v>
      </c>
      <c r="G273" cm="1">
        <f t="array" ref="G273">_xlfn.SWITCH(LOWER(TRIM(F273)),
"enero",1,
"febrero",2,
"marzo",3,
"abril",4,
"mayo",5,
"junio",6,
"julio",7,
"agosto",8,
"septiembre",9,
"octubre",10,
"noviembre",11,
"diciembre",12)</f>
        <v>10</v>
      </c>
      <c r="H273">
        <v>4910220</v>
      </c>
      <c r="I273">
        <v>108</v>
      </c>
      <c r="J273">
        <v>746</v>
      </c>
      <c r="K273">
        <v>45465</v>
      </c>
    </row>
    <row r="274" spans="1:11" x14ac:dyDescent="0.25">
      <c r="A274" t="s">
        <v>18</v>
      </c>
      <c r="B274" t="s">
        <v>58</v>
      </c>
      <c r="C274" t="s">
        <v>12</v>
      </c>
      <c r="D274" t="s">
        <v>21</v>
      </c>
      <c r="E274">
        <v>52</v>
      </c>
      <c r="F274" t="s">
        <v>35</v>
      </c>
      <c r="G274" cm="1">
        <f t="array" ref="G274">_xlfn.SWITCH(LOWER(TRIM(F274)),
"enero",1,
"febrero",2,
"marzo",3,
"abril",4,
"mayo",5,
"junio",6,
"julio",7,
"agosto",8,
"septiembre",9,
"octubre",10,
"noviembre",11,
"diciembre",12)</f>
        <v>6</v>
      </c>
      <c r="H274">
        <v>2502048</v>
      </c>
      <c r="I274">
        <v>48</v>
      </c>
      <c r="J274">
        <v>285</v>
      </c>
      <c r="K274">
        <v>52126</v>
      </c>
    </row>
    <row r="275" spans="1:11" x14ac:dyDescent="0.25">
      <c r="A275" t="s">
        <v>37</v>
      </c>
      <c r="B275" t="s">
        <v>32</v>
      </c>
      <c r="C275" t="s">
        <v>28</v>
      </c>
      <c r="D275" t="s">
        <v>17</v>
      </c>
      <c r="E275">
        <v>26</v>
      </c>
      <c r="F275" t="s">
        <v>26</v>
      </c>
      <c r="G275" cm="1">
        <f t="array" ref="G275">_xlfn.SWITCH(LOWER(TRIM(F275)),
"enero",1,
"febrero",2,
"marzo",3,
"abril",4,
"mayo",5,
"junio",6,
"julio",7,
"agosto",8,
"septiembre",9,
"octubre",10,
"noviembre",11,
"diciembre",12)</f>
        <v>9</v>
      </c>
      <c r="H275">
        <v>7218305</v>
      </c>
      <c r="I275">
        <v>149</v>
      </c>
      <c r="J275">
        <v>715</v>
      </c>
      <c r="K275">
        <v>48445</v>
      </c>
    </row>
    <row r="276" spans="1:11" x14ac:dyDescent="0.25">
      <c r="A276" t="s">
        <v>18</v>
      </c>
      <c r="B276" t="s">
        <v>32</v>
      </c>
      <c r="C276" t="s">
        <v>28</v>
      </c>
      <c r="D276" t="s">
        <v>17</v>
      </c>
      <c r="E276">
        <v>2</v>
      </c>
      <c r="F276" t="s">
        <v>39</v>
      </c>
      <c r="G276" cm="1">
        <f t="array" ref="G276">_xlfn.SWITCH(LOWER(TRIM(F276)),
"enero",1,
"febrero",2,
"marzo",3,
"abril",4,
"mayo",5,
"junio",6,
"julio",7,
"agosto",8,
"septiembre",9,
"octubre",10,
"noviembre",11,
"diciembre",12)</f>
        <v>12</v>
      </c>
      <c r="H276">
        <v>7230717</v>
      </c>
      <c r="I276">
        <v>117</v>
      </c>
      <c r="J276">
        <v>462</v>
      </c>
      <c r="K276">
        <v>61801</v>
      </c>
    </row>
    <row r="277" spans="1:11" x14ac:dyDescent="0.25">
      <c r="A277" t="s">
        <v>10</v>
      </c>
      <c r="B277" t="s">
        <v>41</v>
      </c>
      <c r="C277" t="s">
        <v>42</v>
      </c>
      <c r="D277" t="s">
        <v>25</v>
      </c>
      <c r="E277">
        <v>27</v>
      </c>
      <c r="F277" t="s">
        <v>60</v>
      </c>
      <c r="G277" cm="1">
        <f t="array" ref="G277">_xlfn.SWITCH(LOWER(TRIM(F277)),
"enero",1,
"febrero",2,
"marzo",3,
"abril",4,
"mayo",5,
"junio",6,
"julio",7,
"agosto",8,
"septiembre",9,
"octubre",10,
"noviembre",11,
"diciembre",12)</f>
        <v>4</v>
      </c>
      <c r="H277">
        <v>11036220</v>
      </c>
      <c r="I277">
        <v>195</v>
      </c>
      <c r="J277">
        <v>523</v>
      </c>
      <c r="K277">
        <v>56596</v>
      </c>
    </row>
    <row r="278" spans="1:11" x14ac:dyDescent="0.25">
      <c r="A278" t="s">
        <v>10</v>
      </c>
      <c r="B278" t="s">
        <v>40</v>
      </c>
      <c r="C278" t="s">
        <v>12</v>
      </c>
      <c r="D278" t="s">
        <v>29</v>
      </c>
      <c r="E278">
        <v>46</v>
      </c>
      <c r="F278" t="s">
        <v>46</v>
      </c>
      <c r="G278" cm="1">
        <f t="array" ref="G278">_xlfn.SWITCH(LOWER(TRIM(F278)),
"enero",1,
"febrero",2,
"marzo",3,
"abril",4,
"mayo",5,
"junio",6,
"julio",7,
"agosto",8,
"septiembre",9,
"octubre",10,
"noviembre",11,
"diciembre",12)</f>
        <v>3</v>
      </c>
      <c r="H278">
        <v>3900480</v>
      </c>
      <c r="I278">
        <v>80</v>
      </c>
      <c r="J278">
        <v>458</v>
      </c>
      <c r="K278">
        <v>48756</v>
      </c>
    </row>
    <row r="279" spans="1:11" x14ac:dyDescent="0.25">
      <c r="A279" t="s">
        <v>15</v>
      </c>
      <c r="B279" t="s">
        <v>50</v>
      </c>
      <c r="C279" t="s">
        <v>20</v>
      </c>
      <c r="D279" t="s">
        <v>17</v>
      </c>
      <c r="E279">
        <v>38</v>
      </c>
      <c r="F279" t="s">
        <v>22</v>
      </c>
      <c r="G279" cm="1">
        <f t="array" ref="G279">_xlfn.SWITCH(LOWER(TRIM(F279)),
"enero",1,
"febrero",2,
"marzo",3,
"abril",4,
"mayo",5,
"junio",6,
"julio",7,
"agosto",8,
"septiembre",9,
"octubre",10,
"noviembre",11,
"diciembre",12)</f>
        <v>7</v>
      </c>
      <c r="H279">
        <v>2149665</v>
      </c>
      <c r="I279">
        <v>59</v>
      </c>
      <c r="J279">
        <v>587</v>
      </c>
      <c r="K279">
        <v>36435</v>
      </c>
    </row>
    <row r="280" spans="1:11" x14ac:dyDescent="0.25">
      <c r="A280" t="s">
        <v>37</v>
      </c>
      <c r="B280" t="s">
        <v>48</v>
      </c>
      <c r="C280" t="s">
        <v>20</v>
      </c>
      <c r="D280" t="s">
        <v>13</v>
      </c>
      <c r="E280">
        <v>16</v>
      </c>
      <c r="F280" t="s">
        <v>22</v>
      </c>
      <c r="G280" cm="1">
        <f t="array" ref="G280">_xlfn.SWITCH(LOWER(TRIM(F280)),
"enero",1,
"febrero",2,
"marzo",3,
"abril",4,
"mayo",5,
"junio",6,
"julio",7,
"agosto",8,
"septiembre",9,
"octubre",10,
"noviembre",11,
"diciembre",12)</f>
        <v>7</v>
      </c>
      <c r="H280">
        <v>10672636</v>
      </c>
      <c r="I280">
        <v>167</v>
      </c>
      <c r="J280">
        <v>47</v>
      </c>
      <c r="K280">
        <v>63908</v>
      </c>
    </row>
    <row r="281" spans="1:11" x14ac:dyDescent="0.25">
      <c r="A281" t="s">
        <v>37</v>
      </c>
      <c r="B281" t="s">
        <v>19</v>
      </c>
      <c r="C281" t="s">
        <v>20</v>
      </c>
      <c r="D281" t="s">
        <v>21</v>
      </c>
      <c r="E281">
        <v>12</v>
      </c>
      <c r="F281" t="s">
        <v>60</v>
      </c>
      <c r="G281" cm="1">
        <f t="array" ref="G281">_xlfn.SWITCH(LOWER(TRIM(F281)),
"enero",1,
"febrero",2,
"marzo",3,
"abril",4,
"mayo",5,
"junio",6,
"julio",7,
"agosto",8,
"septiembre",9,
"octubre",10,
"noviembre",11,
"diciembre",12)</f>
        <v>4</v>
      </c>
      <c r="H281">
        <v>2806505</v>
      </c>
      <c r="I281">
        <v>65</v>
      </c>
      <c r="J281">
        <v>331</v>
      </c>
      <c r="K281">
        <v>43177</v>
      </c>
    </row>
    <row r="282" spans="1:11" x14ac:dyDescent="0.25">
      <c r="A282" t="s">
        <v>15</v>
      </c>
      <c r="B282" t="s">
        <v>38</v>
      </c>
      <c r="C282" t="s">
        <v>20</v>
      </c>
      <c r="D282" t="s">
        <v>25</v>
      </c>
      <c r="E282">
        <v>43</v>
      </c>
      <c r="F282" t="s">
        <v>30</v>
      </c>
      <c r="G282" cm="1">
        <f t="array" ref="G282">_xlfn.SWITCH(LOWER(TRIM(F282)),
"enero",1,
"febrero",2,
"marzo",3,
"abril",4,
"mayo",5,
"junio",6,
"julio",7,
"agosto",8,
"septiembre",9,
"octubre",10,
"noviembre",11,
"diciembre",12)</f>
        <v>10</v>
      </c>
      <c r="H282">
        <v>8389184</v>
      </c>
      <c r="I282">
        <v>152</v>
      </c>
      <c r="J282">
        <v>265</v>
      </c>
      <c r="K282">
        <v>55192</v>
      </c>
    </row>
    <row r="283" spans="1:11" x14ac:dyDescent="0.25">
      <c r="A283" t="s">
        <v>15</v>
      </c>
      <c r="B283" t="s">
        <v>34</v>
      </c>
      <c r="C283" t="s">
        <v>28</v>
      </c>
      <c r="D283" t="s">
        <v>13</v>
      </c>
      <c r="E283">
        <v>11</v>
      </c>
      <c r="F283" t="s">
        <v>60</v>
      </c>
      <c r="G283" cm="1">
        <f t="array" ref="G283">_xlfn.SWITCH(LOWER(TRIM(F283)),
"enero",1,
"febrero",2,
"marzo",3,
"abril",4,
"mayo",5,
"junio",6,
"julio",7,
"agosto",8,
"septiembre",9,
"octubre",10,
"noviembre",11,
"diciembre",12)</f>
        <v>4</v>
      </c>
      <c r="H283">
        <v>5015904</v>
      </c>
      <c r="I283">
        <v>96</v>
      </c>
      <c r="J283">
        <v>525</v>
      </c>
      <c r="K283">
        <v>52249</v>
      </c>
    </row>
    <row r="284" spans="1:11" x14ac:dyDescent="0.25">
      <c r="A284" t="s">
        <v>37</v>
      </c>
      <c r="B284" t="s">
        <v>48</v>
      </c>
      <c r="C284" t="s">
        <v>20</v>
      </c>
      <c r="D284" t="s">
        <v>13</v>
      </c>
      <c r="E284">
        <v>10</v>
      </c>
      <c r="F284" t="s">
        <v>35</v>
      </c>
      <c r="G284" cm="1">
        <f t="array" ref="G284">_xlfn.SWITCH(LOWER(TRIM(F284)),
"enero",1,
"febrero",2,
"marzo",3,
"abril",4,
"mayo",5,
"junio",6,
"julio",7,
"agosto",8,
"septiembre",9,
"octubre",10,
"noviembre",11,
"diciembre",12)</f>
        <v>6</v>
      </c>
      <c r="H284">
        <v>10623420</v>
      </c>
      <c r="I284">
        <v>191</v>
      </c>
      <c r="J284">
        <v>871</v>
      </c>
      <c r="K284">
        <v>55620</v>
      </c>
    </row>
    <row r="285" spans="1:11" x14ac:dyDescent="0.25">
      <c r="A285" t="s">
        <v>31</v>
      </c>
      <c r="B285" t="s">
        <v>27</v>
      </c>
      <c r="C285" t="s">
        <v>28</v>
      </c>
      <c r="D285" t="s">
        <v>29</v>
      </c>
      <c r="E285">
        <v>35</v>
      </c>
      <c r="F285" t="s">
        <v>46</v>
      </c>
      <c r="G285" cm="1">
        <f t="array" ref="G285">_xlfn.SWITCH(LOWER(TRIM(F285)),
"enero",1,
"febrero",2,
"marzo",3,
"abril",4,
"mayo",5,
"junio",6,
"julio",7,
"agosto",8,
"septiembre",9,
"octubre",10,
"noviembre",11,
"diciembre",12)</f>
        <v>3</v>
      </c>
      <c r="H285">
        <v>7683249</v>
      </c>
      <c r="I285">
        <v>147</v>
      </c>
      <c r="J285">
        <v>196</v>
      </c>
      <c r="K285">
        <v>52267</v>
      </c>
    </row>
    <row r="286" spans="1:11" x14ac:dyDescent="0.25">
      <c r="A286" t="s">
        <v>10</v>
      </c>
      <c r="B286" t="s">
        <v>53</v>
      </c>
      <c r="C286" t="s">
        <v>24</v>
      </c>
      <c r="D286" t="s">
        <v>29</v>
      </c>
      <c r="E286">
        <v>43</v>
      </c>
      <c r="F286" t="s">
        <v>45</v>
      </c>
      <c r="G286" cm="1">
        <f t="array" ref="G286">_xlfn.SWITCH(LOWER(TRIM(F286)),
"enero",1,
"febrero",2,
"marzo",3,
"abril",4,
"mayo",5,
"junio",6,
"julio",7,
"agosto",8,
"septiembre",9,
"octubre",10,
"noviembre",11,
"diciembre",12)</f>
        <v>2</v>
      </c>
      <c r="H286">
        <v>1727109</v>
      </c>
      <c r="I286">
        <v>47</v>
      </c>
      <c r="J286">
        <v>500</v>
      </c>
      <c r="K286">
        <v>36747</v>
      </c>
    </row>
    <row r="287" spans="1:11" x14ac:dyDescent="0.25">
      <c r="A287" t="s">
        <v>31</v>
      </c>
      <c r="B287" t="s">
        <v>32</v>
      </c>
      <c r="C287" t="s">
        <v>28</v>
      </c>
      <c r="D287" t="s">
        <v>17</v>
      </c>
      <c r="E287">
        <v>39</v>
      </c>
      <c r="F287" t="s">
        <v>22</v>
      </c>
      <c r="G287" cm="1">
        <f t="array" ref="G287">_xlfn.SWITCH(LOWER(TRIM(F287)),
"enero",1,
"febrero",2,
"marzo",3,
"abril",4,
"mayo",5,
"junio",6,
"julio",7,
"agosto",8,
"septiembre",9,
"octubre",10,
"noviembre",11,
"diciembre",12)</f>
        <v>7</v>
      </c>
      <c r="H287">
        <v>1846656</v>
      </c>
      <c r="I287">
        <v>42</v>
      </c>
      <c r="J287">
        <v>787</v>
      </c>
      <c r="K287">
        <v>43968</v>
      </c>
    </row>
    <row r="288" spans="1:11" x14ac:dyDescent="0.25">
      <c r="A288" t="s">
        <v>15</v>
      </c>
      <c r="B288" t="s">
        <v>59</v>
      </c>
      <c r="C288" t="s">
        <v>12</v>
      </c>
      <c r="D288" t="s">
        <v>25</v>
      </c>
      <c r="E288">
        <v>38</v>
      </c>
      <c r="F288" t="s">
        <v>49</v>
      </c>
      <c r="G288" cm="1">
        <f t="array" ref="G288">_xlfn.SWITCH(LOWER(TRIM(F288)),
"enero",1,
"febrero",2,
"marzo",3,
"abril",4,
"mayo",5,
"junio",6,
"julio",7,
"agosto",8,
"septiembre",9,
"octubre",10,
"noviembre",11,
"diciembre",12)</f>
        <v>11</v>
      </c>
      <c r="H288">
        <v>2605740</v>
      </c>
      <c r="I288">
        <v>60</v>
      </c>
      <c r="J288">
        <v>862</v>
      </c>
      <c r="K288">
        <v>43429</v>
      </c>
    </row>
    <row r="289" spans="1:11" x14ac:dyDescent="0.25">
      <c r="A289" t="s">
        <v>37</v>
      </c>
      <c r="B289" t="s">
        <v>23</v>
      </c>
      <c r="C289" t="s">
        <v>24</v>
      </c>
      <c r="D289" t="s">
        <v>25</v>
      </c>
      <c r="E289">
        <v>50</v>
      </c>
      <c r="F289" t="s">
        <v>14</v>
      </c>
      <c r="G289" cm="1">
        <f t="array" ref="G289">_xlfn.SWITCH(LOWER(TRIM(F289)),
"enero",1,
"febrero",2,
"marzo",3,
"abril",4,
"mayo",5,
"junio",6,
"julio",7,
"agosto",8,
"septiembre",9,
"octubre",10,
"noviembre",11,
"diciembre",12)</f>
        <v>8</v>
      </c>
      <c r="H289">
        <v>7057962</v>
      </c>
      <c r="I289">
        <v>174</v>
      </c>
      <c r="J289">
        <v>666</v>
      </c>
      <c r="K289">
        <v>40563</v>
      </c>
    </row>
    <row r="290" spans="1:11" x14ac:dyDescent="0.25">
      <c r="A290" t="s">
        <v>31</v>
      </c>
      <c r="B290" t="s">
        <v>55</v>
      </c>
      <c r="C290" t="s">
        <v>42</v>
      </c>
      <c r="D290" t="s">
        <v>21</v>
      </c>
      <c r="E290">
        <v>34</v>
      </c>
      <c r="F290" t="s">
        <v>14</v>
      </c>
      <c r="G290" cm="1">
        <f t="array" ref="G290">_xlfn.SWITCH(LOWER(TRIM(F290)),
"enero",1,
"febrero",2,
"marzo",3,
"abril",4,
"mayo",5,
"junio",6,
"julio",7,
"agosto",8,
"septiembre",9,
"octubre",10,
"noviembre",11,
"diciembre",12)</f>
        <v>8</v>
      </c>
      <c r="H290">
        <v>3050742</v>
      </c>
      <c r="I290">
        <v>87</v>
      </c>
      <c r="J290">
        <v>372</v>
      </c>
      <c r="K290">
        <v>35066</v>
      </c>
    </row>
    <row r="291" spans="1:11" x14ac:dyDescent="0.25">
      <c r="A291" t="s">
        <v>31</v>
      </c>
      <c r="B291" t="s">
        <v>38</v>
      </c>
      <c r="C291" t="s">
        <v>20</v>
      </c>
      <c r="D291" t="s">
        <v>25</v>
      </c>
      <c r="E291">
        <v>33</v>
      </c>
      <c r="F291" t="s">
        <v>33</v>
      </c>
      <c r="G291" cm="1">
        <f t="array" ref="G291">_xlfn.SWITCH(LOWER(TRIM(F291)),
"enero",1,
"febrero",2,
"marzo",3,
"abril",4,
"mayo",5,
"junio",6,
"julio",7,
"agosto",8,
"septiembre",9,
"octubre",10,
"noviembre",11,
"diciembre",12)</f>
        <v>1</v>
      </c>
      <c r="H291">
        <v>9438560</v>
      </c>
      <c r="I291">
        <v>160</v>
      </c>
      <c r="J291">
        <v>630</v>
      </c>
      <c r="K291">
        <v>58991</v>
      </c>
    </row>
    <row r="292" spans="1:11" x14ac:dyDescent="0.25">
      <c r="A292" t="s">
        <v>10</v>
      </c>
      <c r="B292" t="s">
        <v>48</v>
      </c>
      <c r="C292" t="s">
        <v>20</v>
      </c>
      <c r="D292" t="s">
        <v>13</v>
      </c>
      <c r="E292">
        <v>44</v>
      </c>
      <c r="F292" t="s">
        <v>43</v>
      </c>
      <c r="G292" cm="1">
        <f t="array" ref="G292">_xlfn.SWITCH(LOWER(TRIM(F292)),
"enero",1,
"febrero",2,
"marzo",3,
"abril",4,
"mayo",5,
"junio",6,
"julio",7,
"agosto",8,
"septiembre",9,
"octubre",10,
"noviembre",11,
"diciembre",12)</f>
        <v>5</v>
      </c>
      <c r="H292">
        <v>5220320</v>
      </c>
      <c r="I292">
        <v>140</v>
      </c>
      <c r="J292">
        <v>419</v>
      </c>
      <c r="K292">
        <v>37288</v>
      </c>
    </row>
    <row r="293" spans="1:11" x14ac:dyDescent="0.25">
      <c r="A293" t="s">
        <v>37</v>
      </c>
      <c r="B293" t="s">
        <v>57</v>
      </c>
      <c r="C293" t="s">
        <v>42</v>
      </c>
      <c r="D293" t="s">
        <v>17</v>
      </c>
      <c r="E293">
        <v>4</v>
      </c>
      <c r="F293" t="s">
        <v>43</v>
      </c>
      <c r="G293" cm="1">
        <f t="array" ref="G293">_xlfn.SWITCH(LOWER(TRIM(F293)),
"enero",1,
"febrero",2,
"marzo",3,
"abril",4,
"mayo",5,
"junio",6,
"julio",7,
"agosto",8,
"septiembre",9,
"octubre",10,
"noviembre",11,
"diciembre",12)</f>
        <v>5</v>
      </c>
      <c r="H293">
        <v>7839419</v>
      </c>
      <c r="I293">
        <v>133</v>
      </c>
      <c r="J293">
        <v>443</v>
      </c>
      <c r="K293">
        <v>58943</v>
      </c>
    </row>
    <row r="294" spans="1:11" x14ac:dyDescent="0.25">
      <c r="A294" t="s">
        <v>31</v>
      </c>
      <c r="B294" t="s">
        <v>27</v>
      </c>
      <c r="C294" t="s">
        <v>28</v>
      </c>
      <c r="D294" t="s">
        <v>29</v>
      </c>
      <c r="E294">
        <v>37</v>
      </c>
      <c r="F294" t="s">
        <v>26</v>
      </c>
      <c r="G294" cm="1">
        <f t="array" ref="G294">_xlfn.SWITCH(LOWER(TRIM(F294)),
"enero",1,
"febrero",2,
"marzo",3,
"abril",4,
"mayo",5,
"junio",6,
"julio",7,
"agosto",8,
"septiembre",9,
"octubre",10,
"noviembre",11,
"diciembre",12)</f>
        <v>9</v>
      </c>
      <c r="H294">
        <v>1493394</v>
      </c>
      <c r="I294">
        <v>37</v>
      </c>
      <c r="J294">
        <v>819</v>
      </c>
      <c r="K294">
        <v>40362</v>
      </c>
    </row>
    <row r="295" spans="1:11" x14ac:dyDescent="0.25">
      <c r="A295" t="s">
        <v>18</v>
      </c>
      <c r="B295" t="s">
        <v>57</v>
      </c>
      <c r="C295" t="s">
        <v>42</v>
      </c>
      <c r="D295" t="s">
        <v>17</v>
      </c>
      <c r="E295">
        <v>33</v>
      </c>
      <c r="F295" t="s">
        <v>43</v>
      </c>
      <c r="G295" cm="1">
        <f t="array" ref="G295">_xlfn.SWITCH(LOWER(TRIM(F295)),
"enero",1,
"febrero",2,
"marzo",3,
"abril",4,
"mayo",5,
"junio",6,
"julio",7,
"agosto",8,
"septiembre",9,
"octubre",10,
"noviembre",11,
"diciembre",12)</f>
        <v>5</v>
      </c>
      <c r="H295">
        <v>8344380</v>
      </c>
      <c r="I295">
        <v>141</v>
      </c>
      <c r="J295">
        <v>590</v>
      </c>
      <c r="K295">
        <v>59180</v>
      </c>
    </row>
    <row r="296" spans="1:11" x14ac:dyDescent="0.25">
      <c r="A296" t="s">
        <v>37</v>
      </c>
      <c r="B296" t="s">
        <v>32</v>
      </c>
      <c r="C296" t="s">
        <v>28</v>
      </c>
      <c r="D296" t="s">
        <v>17</v>
      </c>
      <c r="E296">
        <v>9</v>
      </c>
      <c r="F296" t="s">
        <v>49</v>
      </c>
      <c r="G296" cm="1">
        <f t="array" ref="G296">_xlfn.SWITCH(LOWER(TRIM(F296)),
"enero",1,
"febrero",2,
"marzo",3,
"abril",4,
"mayo",5,
"junio",6,
"julio",7,
"agosto",8,
"septiembre",9,
"octubre",10,
"noviembre",11,
"diciembre",12)</f>
        <v>11</v>
      </c>
      <c r="H296">
        <v>9392160</v>
      </c>
      <c r="I296">
        <v>160</v>
      </c>
      <c r="J296">
        <v>568</v>
      </c>
      <c r="K296">
        <v>58701</v>
      </c>
    </row>
    <row r="297" spans="1:11" x14ac:dyDescent="0.25">
      <c r="A297" t="s">
        <v>15</v>
      </c>
      <c r="B297" t="s">
        <v>27</v>
      </c>
      <c r="C297" t="s">
        <v>28</v>
      </c>
      <c r="D297" t="s">
        <v>29</v>
      </c>
      <c r="E297">
        <v>15</v>
      </c>
      <c r="F297" t="s">
        <v>33</v>
      </c>
      <c r="G297" cm="1">
        <f t="array" ref="G297">_xlfn.SWITCH(LOWER(TRIM(F297)),
"enero",1,
"febrero",2,
"marzo",3,
"abril",4,
"mayo",5,
"junio",6,
"julio",7,
"agosto",8,
"septiembre",9,
"octubre",10,
"noviembre",11,
"diciembre",12)</f>
        <v>1</v>
      </c>
      <c r="H297">
        <v>4168623</v>
      </c>
      <c r="I297">
        <v>71</v>
      </c>
      <c r="J297">
        <v>237</v>
      </c>
      <c r="K297">
        <v>58713</v>
      </c>
    </row>
    <row r="298" spans="1:11" x14ac:dyDescent="0.25">
      <c r="A298" t="s">
        <v>15</v>
      </c>
      <c r="B298" t="s">
        <v>54</v>
      </c>
      <c r="C298" t="s">
        <v>28</v>
      </c>
      <c r="D298" t="s">
        <v>21</v>
      </c>
      <c r="E298">
        <v>36</v>
      </c>
      <c r="F298" t="s">
        <v>60</v>
      </c>
      <c r="G298" cm="1">
        <f t="array" ref="G298">_xlfn.SWITCH(LOWER(TRIM(F298)),
"enero",1,
"febrero",2,
"marzo",3,
"abril",4,
"mayo",5,
"junio",6,
"julio",7,
"agosto",8,
"septiembre",9,
"octubre",10,
"noviembre",11,
"diciembre",12)</f>
        <v>4</v>
      </c>
      <c r="H298">
        <v>1910400</v>
      </c>
      <c r="I298">
        <v>30</v>
      </c>
      <c r="J298">
        <v>385</v>
      </c>
      <c r="K298">
        <v>63680</v>
      </c>
    </row>
    <row r="299" spans="1:11" x14ac:dyDescent="0.25">
      <c r="A299" t="s">
        <v>37</v>
      </c>
      <c r="B299" t="s">
        <v>58</v>
      </c>
      <c r="C299" t="s">
        <v>12</v>
      </c>
      <c r="D299" t="s">
        <v>21</v>
      </c>
      <c r="E299">
        <v>42</v>
      </c>
      <c r="F299" t="s">
        <v>49</v>
      </c>
      <c r="G299" cm="1">
        <f t="array" ref="G299">_xlfn.SWITCH(LOWER(TRIM(F299)),
"enero",1,
"febrero",2,
"marzo",3,
"abril",4,
"mayo",5,
"junio",6,
"julio",7,
"agosto",8,
"septiembre",9,
"octubre",10,
"noviembre",11,
"diciembre",12)</f>
        <v>11</v>
      </c>
      <c r="H299">
        <v>11828374</v>
      </c>
      <c r="I299">
        <v>194</v>
      </c>
      <c r="J299">
        <v>126</v>
      </c>
      <c r="K299">
        <v>60971</v>
      </c>
    </row>
    <row r="300" spans="1:11" x14ac:dyDescent="0.25">
      <c r="A300" t="s">
        <v>31</v>
      </c>
      <c r="B300" t="s">
        <v>58</v>
      </c>
      <c r="C300" t="s">
        <v>12</v>
      </c>
      <c r="D300" t="s">
        <v>21</v>
      </c>
      <c r="E300">
        <v>7</v>
      </c>
      <c r="F300" t="s">
        <v>33</v>
      </c>
      <c r="G300" cm="1">
        <f t="array" ref="G300">_xlfn.SWITCH(LOWER(TRIM(F300)),
"enero",1,
"febrero",2,
"marzo",3,
"abril",4,
"mayo",5,
"junio",6,
"julio",7,
"agosto",8,
"septiembre",9,
"octubre",10,
"noviembre",11,
"diciembre",12)</f>
        <v>1</v>
      </c>
      <c r="H300">
        <v>3927546</v>
      </c>
      <c r="I300">
        <v>63</v>
      </c>
      <c r="J300">
        <v>298</v>
      </c>
      <c r="K300">
        <v>62342</v>
      </c>
    </row>
    <row r="301" spans="1:11" x14ac:dyDescent="0.25">
      <c r="A301" t="s">
        <v>18</v>
      </c>
      <c r="B301" t="s">
        <v>16</v>
      </c>
      <c r="C301" t="s">
        <v>12</v>
      </c>
      <c r="D301" t="s">
        <v>17</v>
      </c>
      <c r="E301">
        <v>28</v>
      </c>
      <c r="F301" t="s">
        <v>46</v>
      </c>
      <c r="G301" cm="1">
        <f t="array" ref="G301">_xlfn.SWITCH(LOWER(TRIM(F301)),
"enero",1,
"febrero",2,
"marzo",3,
"abril",4,
"mayo",5,
"junio",6,
"julio",7,
"agosto",8,
"septiembre",9,
"octubre",10,
"noviembre",11,
"diciembre",12)</f>
        <v>3</v>
      </c>
      <c r="H301">
        <v>3554700</v>
      </c>
      <c r="I301">
        <v>85</v>
      </c>
      <c r="J301">
        <v>341</v>
      </c>
      <c r="K301">
        <v>41820</v>
      </c>
    </row>
    <row r="302" spans="1:11" x14ac:dyDescent="0.25">
      <c r="A302" t="s">
        <v>37</v>
      </c>
      <c r="B302" t="s">
        <v>16</v>
      </c>
      <c r="C302" t="s">
        <v>12</v>
      </c>
      <c r="D302" t="s">
        <v>17</v>
      </c>
      <c r="E302">
        <v>35</v>
      </c>
      <c r="F302" t="s">
        <v>49</v>
      </c>
      <c r="G302" cm="1">
        <f t="array" ref="G302">_xlfn.SWITCH(LOWER(TRIM(F302)),
"enero",1,
"febrero",2,
"marzo",3,
"abril",4,
"mayo",5,
"junio",6,
"julio",7,
"agosto",8,
"septiembre",9,
"octubre",10,
"noviembre",11,
"diciembre",12)</f>
        <v>11</v>
      </c>
      <c r="H302">
        <v>1573220</v>
      </c>
      <c r="I302">
        <v>44</v>
      </c>
      <c r="J302">
        <v>550</v>
      </c>
      <c r="K302">
        <v>35755</v>
      </c>
    </row>
    <row r="303" spans="1:11" x14ac:dyDescent="0.25">
      <c r="A303" t="s">
        <v>31</v>
      </c>
      <c r="B303" t="s">
        <v>32</v>
      </c>
      <c r="C303" t="s">
        <v>28</v>
      </c>
      <c r="D303" t="s">
        <v>17</v>
      </c>
      <c r="E303">
        <v>24</v>
      </c>
      <c r="F303" t="s">
        <v>60</v>
      </c>
      <c r="G303" cm="1">
        <f t="array" ref="G303">_xlfn.SWITCH(LOWER(TRIM(F303)),
"enero",1,
"febrero",2,
"marzo",3,
"abril",4,
"mayo",5,
"junio",6,
"julio",7,
"agosto",8,
"septiembre",9,
"octubre",10,
"noviembre",11,
"diciembre",12)</f>
        <v>4</v>
      </c>
      <c r="H303">
        <v>8789760</v>
      </c>
      <c r="I303">
        <v>160</v>
      </c>
      <c r="J303">
        <v>211</v>
      </c>
      <c r="K303">
        <v>54936</v>
      </c>
    </row>
    <row r="304" spans="1:11" x14ac:dyDescent="0.25">
      <c r="A304" t="s">
        <v>37</v>
      </c>
      <c r="B304" t="s">
        <v>40</v>
      </c>
      <c r="C304" t="s">
        <v>12</v>
      </c>
      <c r="D304" t="s">
        <v>29</v>
      </c>
      <c r="E304">
        <v>16</v>
      </c>
      <c r="F304" t="s">
        <v>35</v>
      </c>
      <c r="G304" cm="1">
        <f t="array" ref="G304">_xlfn.SWITCH(LOWER(TRIM(F304)),
"enero",1,
"febrero",2,
"marzo",3,
"abril",4,
"mayo",5,
"junio",6,
"julio",7,
"agosto",8,
"septiembre",9,
"octubre",10,
"noviembre",11,
"diciembre",12)</f>
        <v>6</v>
      </c>
      <c r="H304">
        <v>4653696</v>
      </c>
      <c r="I304">
        <v>96</v>
      </c>
      <c r="J304">
        <v>233</v>
      </c>
      <c r="K304">
        <v>48476</v>
      </c>
    </row>
    <row r="305" spans="1:11" x14ac:dyDescent="0.25">
      <c r="A305" t="s">
        <v>15</v>
      </c>
      <c r="B305" t="s">
        <v>41</v>
      </c>
      <c r="C305" t="s">
        <v>42</v>
      </c>
      <c r="D305" t="s">
        <v>25</v>
      </c>
      <c r="E305">
        <v>17</v>
      </c>
      <c r="F305" t="s">
        <v>35</v>
      </c>
      <c r="G305" cm="1">
        <f t="array" ref="G305">_xlfn.SWITCH(LOWER(TRIM(F305)),
"enero",1,
"febrero",2,
"marzo",3,
"abril",4,
"mayo",5,
"junio",6,
"julio",7,
"agosto",8,
"septiembre",9,
"octubre",10,
"noviembre",11,
"diciembre",12)</f>
        <v>6</v>
      </c>
      <c r="H305">
        <v>5084961</v>
      </c>
      <c r="I305">
        <v>93</v>
      </c>
      <c r="J305">
        <v>101</v>
      </c>
      <c r="K305">
        <v>54677</v>
      </c>
    </row>
    <row r="306" spans="1:11" x14ac:dyDescent="0.25">
      <c r="A306" t="s">
        <v>37</v>
      </c>
      <c r="B306" t="s">
        <v>11</v>
      </c>
      <c r="C306" t="s">
        <v>12</v>
      </c>
      <c r="D306" t="s">
        <v>13</v>
      </c>
      <c r="E306">
        <v>25</v>
      </c>
      <c r="F306" t="s">
        <v>35</v>
      </c>
      <c r="G306" cm="1">
        <f t="array" ref="G306">_xlfn.SWITCH(LOWER(TRIM(F306)),
"enero",1,
"febrero",2,
"marzo",3,
"abril",4,
"mayo",5,
"junio",6,
"julio",7,
"agosto",8,
"septiembre",9,
"octubre",10,
"noviembre",11,
"diciembre",12)</f>
        <v>6</v>
      </c>
      <c r="H306">
        <v>9965136</v>
      </c>
      <c r="I306">
        <v>181</v>
      </c>
      <c r="J306">
        <v>855</v>
      </c>
      <c r="K306">
        <v>55056</v>
      </c>
    </row>
    <row r="307" spans="1:11" x14ac:dyDescent="0.25">
      <c r="A307" t="s">
        <v>15</v>
      </c>
      <c r="B307" t="s">
        <v>51</v>
      </c>
      <c r="C307" t="s">
        <v>24</v>
      </c>
      <c r="D307" t="s">
        <v>21</v>
      </c>
      <c r="E307">
        <v>29</v>
      </c>
      <c r="F307" t="s">
        <v>22</v>
      </c>
      <c r="G307" cm="1">
        <f t="array" ref="G307">_xlfn.SWITCH(LOWER(TRIM(F307)),
"enero",1,
"febrero",2,
"marzo",3,
"abril",4,
"mayo",5,
"junio",6,
"julio",7,
"agosto",8,
"septiembre",9,
"octubre",10,
"noviembre",11,
"diciembre",12)</f>
        <v>7</v>
      </c>
      <c r="H307">
        <v>5714220</v>
      </c>
      <c r="I307">
        <v>131</v>
      </c>
      <c r="J307">
        <v>92</v>
      </c>
      <c r="K307">
        <v>43620</v>
      </c>
    </row>
    <row r="308" spans="1:11" x14ac:dyDescent="0.25">
      <c r="A308" t="s">
        <v>37</v>
      </c>
      <c r="B308" t="s">
        <v>52</v>
      </c>
      <c r="C308" t="s">
        <v>24</v>
      </c>
      <c r="D308" t="s">
        <v>13</v>
      </c>
      <c r="E308">
        <v>22</v>
      </c>
      <c r="F308" t="s">
        <v>26</v>
      </c>
      <c r="G308" cm="1">
        <f t="array" ref="G308">_xlfn.SWITCH(LOWER(TRIM(F308)),
"enero",1,
"febrero",2,
"marzo",3,
"abril",4,
"mayo",5,
"junio",6,
"julio",7,
"agosto",8,
"septiembre",9,
"octubre",10,
"noviembre",11,
"diciembre",12)</f>
        <v>9</v>
      </c>
      <c r="H308">
        <v>6110784</v>
      </c>
      <c r="I308">
        <v>103</v>
      </c>
      <c r="J308">
        <v>125</v>
      </c>
      <c r="K308">
        <v>59328</v>
      </c>
    </row>
    <row r="309" spans="1:11" x14ac:dyDescent="0.25">
      <c r="A309" t="s">
        <v>18</v>
      </c>
      <c r="B309" t="s">
        <v>34</v>
      </c>
      <c r="C309" t="s">
        <v>28</v>
      </c>
      <c r="D309" t="s">
        <v>13</v>
      </c>
      <c r="E309">
        <v>11</v>
      </c>
      <c r="F309" t="s">
        <v>14</v>
      </c>
      <c r="G309" cm="1">
        <f t="array" ref="G309">_xlfn.SWITCH(LOWER(TRIM(F309)),
"enero",1,
"febrero",2,
"marzo",3,
"abril",4,
"mayo",5,
"junio",6,
"julio",7,
"agosto",8,
"septiembre",9,
"octubre",10,
"noviembre",11,
"diciembre",12)</f>
        <v>8</v>
      </c>
      <c r="H309">
        <v>10885206</v>
      </c>
      <c r="I309">
        <v>183</v>
      </c>
      <c r="J309">
        <v>217</v>
      </c>
      <c r="K309">
        <v>59482</v>
      </c>
    </row>
    <row r="310" spans="1:11" x14ac:dyDescent="0.25">
      <c r="A310" t="s">
        <v>31</v>
      </c>
      <c r="B310" t="s">
        <v>48</v>
      </c>
      <c r="C310" t="s">
        <v>20</v>
      </c>
      <c r="D310" t="s">
        <v>13</v>
      </c>
      <c r="E310">
        <v>16</v>
      </c>
      <c r="F310" t="s">
        <v>49</v>
      </c>
      <c r="G310" cm="1">
        <f t="array" ref="G310">_xlfn.SWITCH(LOWER(TRIM(F310)),
"enero",1,
"febrero",2,
"marzo",3,
"abril",4,
"mayo",5,
"junio",6,
"julio",7,
"agosto",8,
"septiembre",9,
"octubre",10,
"noviembre",11,
"diciembre",12)</f>
        <v>11</v>
      </c>
      <c r="H310">
        <v>6411360</v>
      </c>
      <c r="I310">
        <v>114</v>
      </c>
      <c r="J310">
        <v>388</v>
      </c>
      <c r="K310">
        <v>56240</v>
      </c>
    </row>
    <row r="311" spans="1:11" x14ac:dyDescent="0.25">
      <c r="A311" t="s">
        <v>37</v>
      </c>
      <c r="B311" t="s">
        <v>53</v>
      </c>
      <c r="C311" t="s">
        <v>24</v>
      </c>
      <c r="D311" t="s">
        <v>29</v>
      </c>
      <c r="E311">
        <v>18</v>
      </c>
      <c r="F311" t="s">
        <v>22</v>
      </c>
      <c r="G311" cm="1">
        <f t="array" ref="G311">_xlfn.SWITCH(LOWER(TRIM(F311)),
"enero",1,
"febrero",2,
"marzo",3,
"abril",4,
"mayo",5,
"junio",6,
"julio",7,
"agosto",8,
"septiembre",9,
"octubre",10,
"noviembre",11,
"diciembre",12)</f>
        <v>7</v>
      </c>
      <c r="H311">
        <v>5628904</v>
      </c>
      <c r="I311">
        <v>136</v>
      </c>
      <c r="J311">
        <v>34</v>
      </c>
      <c r="K311">
        <v>41389</v>
      </c>
    </row>
    <row r="312" spans="1:11" x14ac:dyDescent="0.25">
      <c r="A312" t="s">
        <v>15</v>
      </c>
      <c r="B312" t="s">
        <v>41</v>
      </c>
      <c r="C312" t="s">
        <v>42</v>
      </c>
      <c r="D312" t="s">
        <v>25</v>
      </c>
      <c r="E312">
        <v>37</v>
      </c>
      <c r="F312" t="s">
        <v>60</v>
      </c>
      <c r="G312" cm="1">
        <f t="array" ref="G312">_xlfn.SWITCH(LOWER(TRIM(F312)),
"enero",1,
"febrero",2,
"marzo",3,
"abril",4,
"mayo",5,
"junio",6,
"julio",7,
"agosto",8,
"septiembre",9,
"octubre",10,
"noviembre",11,
"diciembre",12)</f>
        <v>4</v>
      </c>
      <c r="H312">
        <v>7111530</v>
      </c>
      <c r="I312">
        <v>135</v>
      </c>
      <c r="J312">
        <v>53</v>
      </c>
      <c r="K312">
        <v>52678</v>
      </c>
    </row>
    <row r="313" spans="1:11" x14ac:dyDescent="0.25">
      <c r="A313" t="s">
        <v>18</v>
      </c>
      <c r="B313" t="s">
        <v>53</v>
      </c>
      <c r="C313" t="s">
        <v>24</v>
      </c>
      <c r="D313" t="s">
        <v>29</v>
      </c>
      <c r="E313">
        <v>47</v>
      </c>
      <c r="F313" t="s">
        <v>39</v>
      </c>
      <c r="G313" cm="1">
        <f t="array" ref="G313">_xlfn.SWITCH(LOWER(TRIM(F313)),
"enero",1,
"febrero",2,
"marzo",3,
"abril",4,
"mayo",5,
"junio",6,
"julio",7,
"agosto",8,
"septiembre",9,
"octubre",10,
"noviembre",11,
"diciembre",12)</f>
        <v>12</v>
      </c>
      <c r="H313">
        <v>2940387</v>
      </c>
      <c r="I313">
        <v>53</v>
      </c>
      <c r="J313">
        <v>385</v>
      </c>
      <c r="K313">
        <v>55479</v>
      </c>
    </row>
    <row r="314" spans="1:11" x14ac:dyDescent="0.25">
      <c r="A314" t="s">
        <v>37</v>
      </c>
      <c r="B314" t="s">
        <v>16</v>
      </c>
      <c r="C314" t="s">
        <v>12</v>
      </c>
      <c r="D314" t="s">
        <v>17</v>
      </c>
      <c r="E314">
        <v>5</v>
      </c>
      <c r="F314" t="s">
        <v>60</v>
      </c>
      <c r="G314" cm="1">
        <f t="array" ref="G314">_xlfn.SWITCH(LOWER(TRIM(F314)),
"enero",1,
"febrero",2,
"marzo",3,
"abril",4,
"mayo",5,
"junio",6,
"julio",7,
"agosto",8,
"septiembre",9,
"octubre",10,
"noviembre",11,
"diciembre",12)</f>
        <v>4</v>
      </c>
      <c r="H314">
        <v>8061468</v>
      </c>
      <c r="I314">
        <v>172</v>
      </c>
      <c r="J314">
        <v>634</v>
      </c>
      <c r="K314">
        <v>46869</v>
      </c>
    </row>
    <row r="315" spans="1:11" x14ac:dyDescent="0.25">
      <c r="A315" t="s">
        <v>18</v>
      </c>
      <c r="B315" t="s">
        <v>47</v>
      </c>
      <c r="C315" t="s">
        <v>42</v>
      </c>
      <c r="D315" t="s">
        <v>29</v>
      </c>
      <c r="E315">
        <v>4</v>
      </c>
      <c r="F315" t="s">
        <v>49</v>
      </c>
      <c r="G315" cm="1">
        <f t="array" ref="G315">_xlfn.SWITCH(LOWER(TRIM(F315)),
"enero",1,
"febrero",2,
"marzo",3,
"abril",4,
"mayo",5,
"junio",6,
"julio",7,
"agosto",8,
"septiembre",9,
"octubre",10,
"noviembre",11,
"diciembre",12)</f>
        <v>11</v>
      </c>
      <c r="H315">
        <v>5793136</v>
      </c>
      <c r="I315">
        <v>164</v>
      </c>
      <c r="J315">
        <v>460</v>
      </c>
      <c r="K315">
        <v>35324</v>
      </c>
    </row>
    <row r="316" spans="1:11" x14ac:dyDescent="0.25">
      <c r="A316" t="s">
        <v>37</v>
      </c>
      <c r="B316" t="s">
        <v>32</v>
      </c>
      <c r="C316" t="s">
        <v>28</v>
      </c>
      <c r="D316" t="s">
        <v>17</v>
      </c>
      <c r="E316">
        <v>5</v>
      </c>
      <c r="F316" t="s">
        <v>45</v>
      </c>
      <c r="G316" cm="1">
        <f t="array" ref="G316">_xlfn.SWITCH(LOWER(TRIM(F316)),
"enero",1,
"febrero",2,
"marzo",3,
"abril",4,
"mayo",5,
"junio",6,
"julio",7,
"agosto",8,
"septiembre",9,
"octubre",10,
"noviembre",11,
"diciembre",12)</f>
        <v>2</v>
      </c>
      <c r="H316">
        <v>11041090</v>
      </c>
      <c r="I316">
        <v>190</v>
      </c>
      <c r="J316">
        <v>293</v>
      </c>
      <c r="K316">
        <v>58111</v>
      </c>
    </row>
    <row r="317" spans="1:11" x14ac:dyDescent="0.25">
      <c r="A317" t="s">
        <v>37</v>
      </c>
      <c r="B317" t="s">
        <v>32</v>
      </c>
      <c r="C317" t="s">
        <v>28</v>
      </c>
      <c r="D317" t="s">
        <v>17</v>
      </c>
      <c r="E317">
        <v>27</v>
      </c>
      <c r="F317" t="s">
        <v>26</v>
      </c>
      <c r="G317" cm="1">
        <f t="array" ref="G317">_xlfn.SWITCH(LOWER(TRIM(F317)),
"enero",1,
"febrero",2,
"marzo",3,
"abril",4,
"mayo",5,
"junio",6,
"julio",7,
"agosto",8,
"septiembre",9,
"octubre",10,
"noviembre",11,
"diciembre",12)</f>
        <v>9</v>
      </c>
      <c r="H317">
        <v>1995378</v>
      </c>
      <c r="I317">
        <v>49</v>
      </c>
      <c r="J317">
        <v>81</v>
      </c>
      <c r="K317">
        <v>40722</v>
      </c>
    </row>
    <row r="318" spans="1:11" x14ac:dyDescent="0.25">
      <c r="A318" t="s">
        <v>10</v>
      </c>
      <c r="B318" t="s">
        <v>53</v>
      </c>
      <c r="C318" t="s">
        <v>24</v>
      </c>
      <c r="D318" t="s">
        <v>29</v>
      </c>
      <c r="E318">
        <v>15</v>
      </c>
      <c r="F318" t="s">
        <v>33</v>
      </c>
      <c r="G318" cm="1">
        <f t="array" ref="G318">_xlfn.SWITCH(LOWER(TRIM(F318)),
"enero",1,
"febrero",2,
"marzo",3,
"abril",4,
"mayo",5,
"junio",6,
"julio",7,
"agosto",8,
"septiembre",9,
"octubre",10,
"noviembre",11,
"diciembre",12)</f>
        <v>1</v>
      </c>
      <c r="H318">
        <v>9755709</v>
      </c>
      <c r="I318">
        <v>177</v>
      </c>
      <c r="J318">
        <v>699</v>
      </c>
      <c r="K318">
        <v>55117</v>
      </c>
    </row>
    <row r="319" spans="1:11" x14ac:dyDescent="0.25">
      <c r="A319" t="s">
        <v>10</v>
      </c>
      <c r="B319" t="s">
        <v>40</v>
      </c>
      <c r="C319" t="s">
        <v>12</v>
      </c>
      <c r="D319" t="s">
        <v>29</v>
      </c>
      <c r="E319">
        <v>26</v>
      </c>
      <c r="F319" t="s">
        <v>60</v>
      </c>
      <c r="G319" cm="1">
        <f t="array" ref="G319">_xlfn.SWITCH(LOWER(TRIM(F319)),
"enero",1,
"febrero",2,
"marzo",3,
"abril",4,
"mayo",5,
"junio",6,
"julio",7,
"agosto",8,
"septiembre",9,
"octubre",10,
"noviembre",11,
"diciembre",12)</f>
        <v>4</v>
      </c>
      <c r="H319">
        <v>7837128</v>
      </c>
      <c r="I319">
        <v>156</v>
      </c>
      <c r="J319">
        <v>354</v>
      </c>
      <c r="K319">
        <v>50238</v>
      </c>
    </row>
    <row r="320" spans="1:11" x14ac:dyDescent="0.25">
      <c r="A320" t="s">
        <v>37</v>
      </c>
      <c r="B320" t="s">
        <v>52</v>
      </c>
      <c r="C320" t="s">
        <v>24</v>
      </c>
      <c r="D320" t="s">
        <v>13</v>
      </c>
      <c r="E320">
        <v>45</v>
      </c>
      <c r="F320" t="s">
        <v>46</v>
      </c>
      <c r="G320" cm="1">
        <f t="array" ref="G320">_xlfn.SWITCH(LOWER(TRIM(F320)),
"enero",1,
"febrero",2,
"marzo",3,
"abril",4,
"mayo",5,
"junio",6,
"julio",7,
"agosto",8,
"septiembre",9,
"octubre",10,
"noviembre",11,
"diciembre",12)</f>
        <v>3</v>
      </c>
      <c r="H320">
        <v>7997223</v>
      </c>
      <c r="I320">
        <v>159</v>
      </c>
      <c r="J320">
        <v>17</v>
      </c>
      <c r="K320">
        <v>50297</v>
      </c>
    </row>
    <row r="321" spans="1:11" x14ac:dyDescent="0.25">
      <c r="A321" t="s">
        <v>10</v>
      </c>
      <c r="B321" t="s">
        <v>48</v>
      </c>
      <c r="C321" t="s">
        <v>20</v>
      </c>
      <c r="D321" t="s">
        <v>13</v>
      </c>
      <c r="E321">
        <v>38</v>
      </c>
      <c r="F321" t="s">
        <v>35</v>
      </c>
      <c r="G321" cm="1">
        <f t="array" ref="G321">_xlfn.SWITCH(LOWER(TRIM(F321)),
"enero",1,
"febrero",2,
"marzo",3,
"abril",4,
"mayo",5,
"junio",6,
"julio",7,
"agosto",8,
"septiembre",9,
"octubre",10,
"noviembre",11,
"diciembre",12)</f>
        <v>6</v>
      </c>
      <c r="H321">
        <v>2224514</v>
      </c>
      <c r="I321">
        <v>37</v>
      </c>
      <c r="J321">
        <v>841</v>
      </c>
      <c r="K321">
        <v>60122</v>
      </c>
    </row>
    <row r="322" spans="1:11" x14ac:dyDescent="0.25">
      <c r="A322" t="s">
        <v>31</v>
      </c>
      <c r="B322" t="s">
        <v>56</v>
      </c>
      <c r="C322" t="s">
        <v>24</v>
      </c>
      <c r="D322" t="s">
        <v>17</v>
      </c>
      <c r="E322">
        <v>5</v>
      </c>
      <c r="F322" t="s">
        <v>43</v>
      </c>
      <c r="G322" cm="1">
        <f t="array" ref="G322">_xlfn.SWITCH(LOWER(TRIM(F322)),
"enero",1,
"febrero",2,
"marzo",3,
"abril",4,
"mayo",5,
"junio",6,
"julio",7,
"agosto",8,
"septiembre",9,
"octubre",10,
"noviembre",11,
"diciembre",12)</f>
        <v>5</v>
      </c>
      <c r="H322">
        <v>6931288</v>
      </c>
      <c r="I322">
        <v>182</v>
      </c>
      <c r="J322">
        <v>883</v>
      </c>
      <c r="K322">
        <v>38084</v>
      </c>
    </row>
    <row r="323" spans="1:11" x14ac:dyDescent="0.25">
      <c r="A323" t="s">
        <v>15</v>
      </c>
      <c r="B323" t="s">
        <v>61</v>
      </c>
      <c r="C323" t="s">
        <v>28</v>
      </c>
      <c r="D323" t="s">
        <v>25</v>
      </c>
      <c r="E323">
        <v>46</v>
      </c>
      <c r="F323" t="s">
        <v>22</v>
      </c>
      <c r="G323" cm="1">
        <f t="array" ref="G323">_xlfn.SWITCH(LOWER(TRIM(F323)),
"enero",1,
"febrero",2,
"marzo",3,
"abril",4,
"mayo",5,
"junio",6,
"julio",7,
"agosto",8,
"septiembre",9,
"octubre",10,
"noviembre",11,
"diciembre",12)</f>
        <v>7</v>
      </c>
      <c r="H323">
        <v>2970150</v>
      </c>
      <c r="I323">
        <v>75</v>
      </c>
      <c r="J323">
        <v>94</v>
      </c>
      <c r="K323">
        <v>39602</v>
      </c>
    </row>
    <row r="324" spans="1:11" x14ac:dyDescent="0.25">
      <c r="A324" t="s">
        <v>10</v>
      </c>
      <c r="B324" t="s">
        <v>36</v>
      </c>
      <c r="C324" t="s">
        <v>20</v>
      </c>
      <c r="D324" t="s">
        <v>29</v>
      </c>
      <c r="E324">
        <v>41</v>
      </c>
      <c r="F324" t="s">
        <v>39</v>
      </c>
      <c r="G324" cm="1">
        <f t="array" ref="G324">_xlfn.SWITCH(LOWER(TRIM(F324)),
"enero",1,
"febrero",2,
"marzo",3,
"abril",4,
"mayo",5,
"junio",6,
"julio",7,
"agosto",8,
"septiembre",9,
"octubre",10,
"noviembre",11,
"diciembre",12)</f>
        <v>12</v>
      </c>
      <c r="H324">
        <v>1106130</v>
      </c>
      <c r="I324">
        <v>30</v>
      </c>
      <c r="J324">
        <v>512</v>
      </c>
      <c r="K324">
        <v>36871</v>
      </c>
    </row>
    <row r="325" spans="1:11" x14ac:dyDescent="0.25">
      <c r="A325" t="s">
        <v>10</v>
      </c>
      <c r="B325" t="s">
        <v>47</v>
      </c>
      <c r="C325" t="s">
        <v>42</v>
      </c>
      <c r="D325" t="s">
        <v>29</v>
      </c>
      <c r="E325">
        <v>37</v>
      </c>
      <c r="F325" t="s">
        <v>46</v>
      </c>
      <c r="G325" cm="1">
        <f t="array" ref="G325">_xlfn.SWITCH(LOWER(TRIM(F325)),
"enero",1,
"febrero",2,
"marzo",3,
"abril",4,
"mayo",5,
"junio",6,
"julio",7,
"agosto",8,
"septiembre",9,
"octubre",10,
"noviembre",11,
"diciembre",12)</f>
        <v>3</v>
      </c>
      <c r="H325">
        <v>6661300</v>
      </c>
      <c r="I325">
        <v>116</v>
      </c>
      <c r="J325">
        <v>51</v>
      </c>
      <c r="K325">
        <v>57425</v>
      </c>
    </row>
    <row r="326" spans="1:11" x14ac:dyDescent="0.25">
      <c r="A326" t="s">
        <v>15</v>
      </c>
      <c r="B326" t="s">
        <v>61</v>
      </c>
      <c r="C326" t="s">
        <v>28</v>
      </c>
      <c r="D326" t="s">
        <v>25</v>
      </c>
      <c r="E326">
        <v>17</v>
      </c>
      <c r="F326" t="s">
        <v>49</v>
      </c>
      <c r="G326" cm="1">
        <f t="array" ref="G326">_xlfn.SWITCH(LOWER(TRIM(F326)),
"enero",1,
"febrero",2,
"marzo",3,
"abril",4,
"mayo",5,
"junio",6,
"julio",7,
"agosto",8,
"septiembre",9,
"octubre",10,
"noviembre",11,
"diciembre",12)</f>
        <v>11</v>
      </c>
      <c r="H326">
        <v>3646704</v>
      </c>
      <c r="I326">
        <v>82</v>
      </c>
      <c r="J326">
        <v>274</v>
      </c>
      <c r="K326">
        <v>44472</v>
      </c>
    </row>
    <row r="327" spans="1:11" x14ac:dyDescent="0.25">
      <c r="A327" t="s">
        <v>15</v>
      </c>
      <c r="B327" t="s">
        <v>59</v>
      </c>
      <c r="C327" t="s">
        <v>12</v>
      </c>
      <c r="D327" t="s">
        <v>25</v>
      </c>
      <c r="E327">
        <v>23</v>
      </c>
      <c r="F327" t="s">
        <v>46</v>
      </c>
      <c r="G327" cm="1">
        <f t="array" ref="G327">_xlfn.SWITCH(LOWER(TRIM(F327)),
"enero",1,
"febrero",2,
"marzo",3,
"abril",4,
"mayo",5,
"junio",6,
"julio",7,
"agosto",8,
"septiembre",9,
"octubre",10,
"noviembre",11,
"diciembre",12)</f>
        <v>3</v>
      </c>
      <c r="H327">
        <v>7726400</v>
      </c>
      <c r="I327">
        <v>160</v>
      </c>
      <c r="J327">
        <v>412</v>
      </c>
      <c r="K327">
        <v>48290</v>
      </c>
    </row>
    <row r="328" spans="1:11" x14ac:dyDescent="0.25">
      <c r="A328" t="s">
        <v>10</v>
      </c>
      <c r="B328" t="s">
        <v>50</v>
      </c>
      <c r="C328" t="s">
        <v>20</v>
      </c>
      <c r="D328" t="s">
        <v>17</v>
      </c>
      <c r="E328">
        <v>43</v>
      </c>
      <c r="F328" t="s">
        <v>45</v>
      </c>
      <c r="G328" cm="1">
        <f t="array" ref="G328">_xlfn.SWITCH(LOWER(TRIM(F328)),
"enero",1,
"febrero",2,
"marzo",3,
"abril",4,
"mayo",5,
"junio",6,
"julio",7,
"agosto",8,
"septiembre",9,
"octubre",10,
"noviembre",11,
"diciembre",12)</f>
        <v>2</v>
      </c>
      <c r="H328">
        <v>1709720</v>
      </c>
      <c r="I328">
        <v>40</v>
      </c>
      <c r="J328">
        <v>480</v>
      </c>
      <c r="K328">
        <v>42743</v>
      </c>
    </row>
    <row r="329" spans="1:11" x14ac:dyDescent="0.25">
      <c r="A329" t="s">
        <v>37</v>
      </c>
      <c r="B329" t="s">
        <v>44</v>
      </c>
      <c r="C329" t="s">
        <v>42</v>
      </c>
      <c r="D329" t="s">
        <v>13</v>
      </c>
      <c r="E329">
        <v>48</v>
      </c>
      <c r="F329" t="s">
        <v>60</v>
      </c>
      <c r="G329" cm="1">
        <f t="array" ref="G329">_xlfn.SWITCH(LOWER(TRIM(F329)),
"enero",1,
"febrero",2,
"marzo",3,
"abril",4,
"mayo",5,
"junio",6,
"julio",7,
"agosto",8,
"septiembre",9,
"octubre",10,
"noviembre",11,
"diciembre",12)</f>
        <v>4</v>
      </c>
      <c r="H329">
        <v>3450884</v>
      </c>
      <c r="I329">
        <v>71</v>
      </c>
      <c r="J329">
        <v>186</v>
      </c>
      <c r="K329">
        <v>48604</v>
      </c>
    </row>
    <row r="330" spans="1:11" x14ac:dyDescent="0.25">
      <c r="A330" t="s">
        <v>37</v>
      </c>
      <c r="B330" t="s">
        <v>53</v>
      </c>
      <c r="C330" t="s">
        <v>24</v>
      </c>
      <c r="D330" t="s">
        <v>29</v>
      </c>
      <c r="E330">
        <v>51</v>
      </c>
      <c r="F330" t="s">
        <v>39</v>
      </c>
      <c r="G330" cm="1">
        <f t="array" ref="G330">_xlfn.SWITCH(LOWER(TRIM(F330)),
"enero",1,
"febrero",2,
"marzo",3,
"abril",4,
"mayo",5,
"junio",6,
"julio",7,
"agosto",8,
"septiembre",9,
"octubre",10,
"noviembre",11,
"diciembre",12)</f>
        <v>12</v>
      </c>
      <c r="H330">
        <v>4222329</v>
      </c>
      <c r="I330">
        <v>111</v>
      </c>
      <c r="J330">
        <v>314</v>
      </c>
      <c r="K330">
        <v>38039</v>
      </c>
    </row>
    <row r="331" spans="1:11" x14ac:dyDescent="0.25">
      <c r="A331" t="s">
        <v>31</v>
      </c>
      <c r="B331" t="s">
        <v>59</v>
      </c>
      <c r="C331" t="s">
        <v>12</v>
      </c>
      <c r="D331" t="s">
        <v>25</v>
      </c>
      <c r="E331">
        <v>35</v>
      </c>
      <c r="F331" t="s">
        <v>60</v>
      </c>
      <c r="G331" cm="1">
        <f t="array" ref="G331">_xlfn.SWITCH(LOWER(TRIM(F331)),
"enero",1,
"febrero",2,
"marzo",3,
"abril",4,
"mayo",5,
"junio",6,
"julio",7,
"agosto",8,
"septiembre",9,
"octubre",10,
"noviembre",11,
"diciembre",12)</f>
        <v>4</v>
      </c>
      <c r="H331">
        <v>5840208</v>
      </c>
      <c r="I331">
        <v>99</v>
      </c>
      <c r="J331">
        <v>580</v>
      </c>
      <c r="K331">
        <v>58992</v>
      </c>
    </row>
    <row r="332" spans="1:11" x14ac:dyDescent="0.25">
      <c r="A332" t="s">
        <v>18</v>
      </c>
      <c r="B332" t="s">
        <v>27</v>
      </c>
      <c r="C332" t="s">
        <v>28</v>
      </c>
      <c r="D332" t="s">
        <v>29</v>
      </c>
      <c r="E332">
        <v>14</v>
      </c>
      <c r="F332" t="s">
        <v>49</v>
      </c>
      <c r="G332" cm="1">
        <f t="array" ref="G332">_xlfn.SWITCH(LOWER(TRIM(F332)),
"enero",1,
"febrero",2,
"marzo",3,
"abril",4,
"mayo",5,
"junio",6,
"julio",7,
"agosto",8,
"septiembre",9,
"octubre",10,
"noviembre",11,
"diciembre",12)</f>
        <v>11</v>
      </c>
      <c r="H332">
        <v>2846004</v>
      </c>
      <c r="I332">
        <v>68</v>
      </c>
      <c r="J332">
        <v>141</v>
      </c>
      <c r="K332">
        <v>41853</v>
      </c>
    </row>
    <row r="333" spans="1:11" x14ac:dyDescent="0.25">
      <c r="A333" t="s">
        <v>37</v>
      </c>
      <c r="B333" t="s">
        <v>55</v>
      </c>
      <c r="C333" t="s">
        <v>42</v>
      </c>
      <c r="D333" t="s">
        <v>21</v>
      </c>
      <c r="E333">
        <v>19</v>
      </c>
      <c r="F333" t="s">
        <v>49</v>
      </c>
      <c r="G333" cm="1">
        <f t="array" ref="G333">_xlfn.SWITCH(LOWER(TRIM(F333)),
"enero",1,
"febrero",2,
"marzo",3,
"abril",4,
"mayo",5,
"junio",6,
"julio",7,
"agosto",8,
"septiembre",9,
"octubre",10,
"noviembre",11,
"diciembre",12)</f>
        <v>11</v>
      </c>
      <c r="H333">
        <v>4530634</v>
      </c>
      <c r="I333">
        <v>89</v>
      </c>
      <c r="J333">
        <v>594</v>
      </c>
      <c r="K333">
        <v>50906</v>
      </c>
    </row>
    <row r="334" spans="1:11" x14ac:dyDescent="0.25">
      <c r="A334" t="s">
        <v>31</v>
      </c>
      <c r="B334" t="s">
        <v>53</v>
      </c>
      <c r="C334" t="s">
        <v>24</v>
      </c>
      <c r="D334" t="s">
        <v>29</v>
      </c>
      <c r="E334">
        <v>3</v>
      </c>
      <c r="F334" t="s">
        <v>46</v>
      </c>
      <c r="G334" cm="1">
        <f t="array" ref="G334">_xlfn.SWITCH(LOWER(TRIM(F334)),
"enero",1,
"febrero",2,
"marzo",3,
"abril",4,
"mayo",5,
"junio",6,
"julio",7,
"agosto",8,
"septiembre",9,
"octubre",10,
"noviembre",11,
"diciembre",12)</f>
        <v>3</v>
      </c>
      <c r="H334">
        <v>3581964</v>
      </c>
      <c r="I334">
        <v>94</v>
      </c>
      <c r="J334">
        <v>876</v>
      </c>
      <c r="K334">
        <v>38106</v>
      </c>
    </row>
    <row r="335" spans="1:11" x14ac:dyDescent="0.25">
      <c r="A335" t="s">
        <v>18</v>
      </c>
      <c r="B335" t="s">
        <v>23</v>
      </c>
      <c r="C335" t="s">
        <v>24</v>
      </c>
      <c r="D335" t="s">
        <v>25</v>
      </c>
      <c r="E335">
        <v>6</v>
      </c>
      <c r="F335" t="s">
        <v>33</v>
      </c>
      <c r="G335" cm="1">
        <f t="array" ref="G335">_xlfn.SWITCH(LOWER(TRIM(F335)),
"enero",1,
"febrero",2,
"marzo",3,
"abril",4,
"mayo",5,
"junio",6,
"julio",7,
"agosto",8,
"septiembre",9,
"octubre",10,
"noviembre",11,
"diciembre",12)</f>
        <v>1</v>
      </c>
      <c r="H335">
        <v>1974995</v>
      </c>
      <c r="I335">
        <v>55</v>
      </c>
      <c r="J335">
        <v>44</v>
      </c>
      <c r="K335">
        <v>35909</v>
      </c>
    </row>
    <row r="336" spans="1:11" x14ac:dyDescent="0.25">
      <c r="A336" t="s">
        <v>37</v>
      </c>
      <c r="B336" t="s">
        <v>61</v>
      </c>
      <c r="C336" t="s">
        <v>28</v>
      </c>
      <c r="D336" t="s">
        <v>25</v>
      </c>
      <c r="E336">
        <v>52</v>
      </c>
      <c r="F336" t="s">
        <v>46</v>
      </c>
      <c r="G336" cm="1">
        <f t="array" ref="G336">_xlfn.SWITCH(LOWER(TRIM(F336)),
"enero",1,
"febrero",2,
"marzo",3,
"abril",4,
"mayo",5,
"junio",6,
"julio",7,
"agosto",8,
"septiembre",9,
"octubre",10,
"noviembre",11,
"diciembre",12)</f>
        <v>3</v>
      </c>
      <c r="H336">
        <v>4267272</v>
      </c>
      <c r="I336">
        <v>68</v>
      </c>
      <c r="J336">
        <v>883</v>
      </c>
      <c r="K336">
        <v>62754</v>
      </c>
    </row>
    <row r="337" spans="1:11" x14ac:dyDescent="0.25">
      <c r="A337" t="s">
        <v>18</v>
      </c>
      <c r="B337" t="s">
        <v>40</v>
      </c>
      <c r="C337" t="s">
        <v>12</v>
      </c>
      <c r="D337" t="s">
        <v>29</v>
      </c>
      <c r="E337">
        <v>52</v>
      </c>
      <c r="F337" t="s">
        <v>43</v>
      </c>
      <c r="G337" cm="1">
        <f t="array" ref="G337">_xlfn.SWITCH(LOWER(TRIM(F337)),
"enero",1,
"febrero",2,
"marzo",3,
"abril",4,
"mayo",5,
"junio",6,
"julio",7,
"agosto",8,
"septiembre",9,
"octubre",10,
"noviembre",11,
"diciembre",12)</f>
        <v>5</v>
      </c>
      <c r="H337">
        <v>7785492</v>
      </c>
      <c r="I337">
        <v>132</v>
      </c>
      <c r="J337">
        <v>562</v>
      </c>
      <c r="K337">
        <v>58981</v>
      </c>
    </row>
    <row r="338" spans="1:11" x14ac:dyDescent="0.25">
      <c r="A338" t="s">
        <v>10</v>
      </c>
      <c r="B338" t="s">
        <v>56</v>
      </c>
      <c r="C338" t="s">
        <v>24</v>
      </c>
      <c r="D338" t="s">
        <v>17</v>
      </c>
      <c r="E338">
        <v>4</v>
      </c>
      <c r="F338" t="s">
        <v>60</v>
      </c>
      <c r="G338" cm="1">
        <f t="array" ref="G338">_xlfn.SWITCH(LOWER(TRIM(F338)),
"enero",1,
"febrero",2,
"marzo",3,
"abril",4,
"mayo",5,
"junio",6,
"julio",7,
"agosto",8,
"septiembre",9,
"octubre",10,
"noviembre",11,
"diciembre",12)</f>
        <v>4</v>
      </c>
      <c r="H338">
        <v>5121603</v>
      </c>
      <c r="I338">
        <v>87</v>
      </c>
      <c r="J338">
        <v>312</v>
      </c>
      <c r="K338">
        <v>58869</v>
      </c>
    </row>
    <row r="339" spans="1:11" x14ac:dyDescent="0.25">
      <c r="A339" t="s">
        <v>15</v>
      </c>
      <c r="B339" t="s">
        <v>52</v>
      </c>
      <c r="C339" t="s">
        <v>24</v>
      </c>
      <c r="D339" t="s">
        <v>13</v>
      </c>
      <c r="E339">
        <v>49</v>
      </c>
      <c r="F339" t="s">
        <v>46</v>
      </c>
      <c r="G339" cm="1">
        <f t="array" ref="G339">_xlfn.SWITCH(LOWER(TRIM(F339)),
"enero",1,
"febrero",2,
"marzo",3,
"abril",4,
"mayo",5,
"junio",6,
"julio",7,
"agosto",8,
"septiembre",9,
"octubre",10,
"noviembre",11,
"diciembre",12)</f>
        <v>3</v>
      </c>
      <c r="H339">
        <v>2814306</v>
      </c>
      <c r="I339">
        <v>66</v>
      </c>
      <c r="J339">
        <v>30</v>
      </c>
      <c r="K339">
        <v>42641</v>
      </c>
    </row>
    <row r="340" spans="1:11" x14ac:dyDescent="0.25">
      <c r="A340" t="s">
        <v>10</v>
      </c>
      <c r="B340" t="s">
        <v>40</v>
      </c>
      <c r="C340" t="s">
        <v>12</v>
      </c>
      <c r="D340" t="s">
        <v>29</v>
      </c>
      <c r="E340">
        <v>19</v>
      </c>
      <c r="F340" t="s">
        <v>46</v>
      </c>
      <c r="G340" cm="1">
        <f t="array" ref="G340">_xlfn.SWITCH(LOWER(TRIM(F340)),
"enero",1,
"febrero",2,
"marzo",3,
"abril",4,
"mayo",5,
"junio",6,
"julio",7,
"agosto",8,
"septiembre",9,
"octubre",10,
"noviembre",11,
"diciembre",12)</f>
        <v>3</v>
      </c>
      <c r="H340">
        <v>3908337</v>
      </c>
      <c r="I340">
        <v>71</v>
      </c>
      <c r="J340">
        <v>102</v>
      </c>
      <c r="K340">
        <v>55047</v>
      </c>
    </row>
    <row r="341" spans="1:11" x14ac:dyDescent="0.25">
      <c r="A341" t="s">
        <v>18</v>
      </c>
      <c r="B341" t="s">
        <v>41</v>
      </c>
      <c r="C341" t="s">
        <v>42</v>
      </c>
      <c r="D341" t="s">
        <v>25</v>
      </c>
      <c r="E341">
        <v>30</v>
      </c>
      <c r="F341" t="s">
        <v>26</v>
      </c>
      <c r="G341" cm="1">
        <f t="array" ref="G341">_xlfn.SWITCH(LOWER(TRIM(F341)),
"enero",1,
"febrero",2,
"marzo",3,
"abril",4,
"mayo",5,
"junio",6,
"julio",7,
"agosto",8,
"septiembre",9,
"octubre",10,
"noviembre",11,
"diciembre",12)</f>
        <v>9</v>
      </c>
      <c r="H341">
        <v>8144544</v>
      </c>
      <c r="I341">
        <v>172</v>
      </c>
      <c r="J341">
        <v>544</v>
      </c>
      <c r="K341">
        <v>47352</v>
      </c>
    </row>
    <row r="342" spans="1:11" x14ac:dyDescent="0.25">
      <c r="A342" t="s">
        <v>18</v>
      </c>
      <c r="B342" t="s">
        <v>32</v>
      </c>
      <c r="C342" t="s">
        <v>28</v>
      </c>
      <c r="D342" t="s">
        <v>17</v>
      </c>
      <c r="E342">
        <v>36</v>
      </c>
      <c r="F342" t="s">
        <v>33</v>
      </c>
      <c r="G342" cm="1">
        <f t="array" ref="G342">_xlfn.SWITCH(LOWER(TRIM(F342)),
"enero",1,
"febrero",2,
"marzo",3,
"abril",4,
"mayo",5,
"junio",6,
"julio",7,
"agosto",8,
"septiembre",9,
"octubre",10,
"noviembre",11,
"diciembre",12)</f>
        <v>1</v>
      </c>
      <c r="H342">
        <v>2503744</v>
      </c>
      <c r="I342">
        <v>58</v>
      </c>
      <c r="J342">
        <v>46</v>
      </c>
      <c r="K342">
        <v>43168</v>
      </c>
    </row>
    <row r="343" spans="1:11" x14ac:dyDescent="0.25">
      <c r="A343" t="s">
        <v>10</v>
      </c>
      <c r="B343" t="s">
        <v>57</v>
      </c>
      <c r="C343" t="s">
        <v>42</v>
      </c>
      <c r="D343" t="s">
        <v>17</v>
      </c>
      <c r="E343">
        <v>17</v>
      </c>
      <c r="F343" t="s">
        <v>33</v>
      </c>
      <c r="G343" cm="1">
        <f t="array" ref="G343">_xlfn.SWITCH(LOWER(TRIM(F343)),
"enero",1,
"febrero",2,
"marzo",3,
"abril",4,
"mayo",5,
"junio",6,
"julio",7,
"agosto",8,
"septiembre",9,
"octubre",10,
"noviembre",11,
"diciembre",12)</f>
        <v>1</v>
      </c>
      <c r="H343">
        <v>2580570</v>
      </c>
      <c r="I343">
        <v>53</v>
      </c>
      <c r="J343">
        <v>509</v>
      </c>
      <c r="K343">
        <v>48690</v>
      </c>
    </row>
    <row r="344" spans="1:11" x14ac:dyDescent="0.25">
      <c r="A344" t="s">
        <v>10</v>
      </c>
      <c r="B344" t="s">
        <v>27</v>
      </c>
      <c r="C344" t="s">
        <v>28</v>
      </c>
      <c r="D344" t="s">
        <v>29</v>
      </c>
      <c r="E344">
        <v>22</v>
      </c>
      <c r="F344" t="s">
        <v>43</v>
      </c>
      <c r="G344" cm="1">
        <f t="array" ref="G344">_xlfn.SWITCH(LOWER(TRIM(F344)),
"enero",1,
"febrero",2,
"marzo",3,
"abril",4,
"mayo",5,
"junio",6,
"julio",7,
"agosto",8,
"septiembre",9,
"octubre",10,
"noviembre",11,
"diciembre",12)</f>
        <v>5</v>
      </c>
      <c r="H344">
        <v>2492750</v>
      </c>
      <c r="I344">
        <v>50</v>
      </c>
      <c r="J344">
        <v>551</v>
      </c>
      <c r="K344">
        <v>49855</v>
      </c>
    </row>
    <row r="345" spans="1:11" x14ac:dyDescent="0.25">
      <c r="A345" t="s">
        <v>37</v>
      </c>
      <c r="B345" t="s">
        <v>54</v>
      </c>
      <c r="C345" t="s">
        <v>28</v>
      </c>
      <c r="D345" t="s">
        <v>21</v>
      </c>
      <c r="E345">
        <v>39</v>
      </c>
      <c r="F345" t="s">
        <v>49</v>
      </c>
      <c r="G345" cm="1">
        <f t="array" ref="G345">_xlfn.SWITCH(LOWER(TRIM(F345)),
"enero",1,
"febrero",2,
"marzo",3,
"abril",4,
"mayo",5,
"junio",6,
"julio",7,
"agosto",8,
"septiembre",9,
"octubre",10,
"noviembre",11,
"diciembre",12)</f>
        <v>11</v>
      </c>
      <c r="H345">
        <v>11782280</v>
      </c>
      <c r="I345">
        <v>185</v>
      </c>
      <c r="J345">
        <v>869</v>
      </c>
      <c r="K345">
        <v>63688</v>
      </c>
    </row>
    <row r="346" spans="1:11" x14ac:dyDescent="0.25">
      <c r="A346" t="s">
        <v>18</v>
      </c>
      <c r="B346" t="s">
        <v>38</v>
      </c>
      <c r="C346" t="s">
        <v>20</v>
      </c>
      <c r="D346" t="s">
        <v>25</v>
      </c>
      <c r="E346">
        <v>19</v>
      </c>
      <c r="F346" t="s">
        <v>35</v>
      </c>
      <c r="G346" cm="1">
        <f t="array" ref="G346">_xlfn.SWITCH(LOWER(TRIM(F346)),
"enero",1,
"febrero",2,
"marzo",3,
"abril",4,
"mayo",5,
"junio",6,
"julio",7,
"agosto",8,
"septiembre",9,
"octubre",10,
"noviembre",11,
"diciembre",12)</f>
        <v>6</v>
      </c>
      <c r="H346">
        <v>8724249</v>
      </c>
      <c r="I346">
        <v>163</v>
      </c>
      <c r="J346">
        <v>792</v>
      </c>
      <c r="K346">
        <v>53523</v>
      </c>
    </row>
    <row r="347" spans="1:11" x14ac:dyDescent="0.25">
      <c r="A347" t="s">
        <v>10</v>
      </c>
      <c r="B347" t="s">
        <v>61</v>
      </c>
      <c r="C347" t="s">
        <v>28</v>
      </c>
      <c r="D347" t="s">
        <v>25</v>
      </c>
      <c r="E347">
        <v>50</v>
      </c>
      <c r="F347" t="s">
        <v>60</v>
      </c>
      <c r="G347" cm="1">
        <f t="array" ref="G347">_xlfn.SWITCH(LOWER(TRIM(F347)),
"enero",1,
"febrero",2,
"marzo",3,
"abril",4,
"mayo",5,
"junio",6,
"julio",7,
"agosto",8,
"septiembre",9,
"octubre",10,
"noviembre",11,
"diciembre",12)</f>
        <v>4</v>
      </c>
      <c r="H347">
        <v>1893330</v>
      </c>
      <c r="I347">
        <v>30</v>
      </c>
      <c r="J347">
        <v>133</v>
      </c>
      <c r="K347">
        <v>63111</v>
      </c>
    </row>
    <row r="348" spans="1:11" x14ac:dyDescent="0.25">
      <c r="A348" t="s">
        <v>15</v>
      </c>
      <c r="B348" t="s">
        <v>36</v>
      </c>
      <c r="C348" t="s">
        <v>20</v>
      </c>
      <c r="D348" t="s">
        <v>29</v>
      </c>
      <c r="E348">
        <v>48</v>
      </c>
      <c r="F348" t="s">
        <v>35</v>
      </c>
      <c r="G348" cm="1">
        <f t="array" ref="G348">_xlfn.SWITCH(LOWER(TRIM(F348)),
"enero",1,
"febrero",2,
"marzo",3,
"abril",4,
"mayo",5,
"junio",6,
"julio",7,
"agosto",8,
"septiembre",9,
"octubre",10,
"noviembre",11,
"diciembre",12)</f>
        <v>6</v>
      </c>
      <c r="H348">
        <v>3599630</v>
      </c>
      <c r="I348">
        <v>73</v>
      </c>
      <c r="J348">
        <v>463</v>
      </c>
      <c r="K348">
        <v>49310</v>
      </c>
    </row>
    <row r="349" spans="1:11" x14ac:dyDescent="0.25">
      <c r="A349" t="s">
        <v>18</v>
      </c>
      <c r="B349" t="s">
        <v>38</v>
      </c>
      <c r="C349" t="s">
        <v>20</v>
      </c>
      <c r="D349" t="s">
        <v>25</v>
      </c>
      <c r="E349">
        <v>37</v>
      </c>
      <c r="F349" t="s">
        <v>45</v>
      </c>
      <c r="G349" cm="1">
        <f t="array" ref="G349">_xlfn.SWITCH(LOWER(TRIM(F349)),
"enero",1,
"febrero",2,
"marzo",3,
"abril",4,
"mayo",5,
"junio",6,
"julio",7,
"agosto",8,
"septiembre",9,
"octubre",10,
"noviembre",11,
"diciembre",12)</f>
        <v>2</v>
      </c>
      <c r="H349">
        <v>6864176</v>
      </c>
      <c r="I349">
        <v>172</v>
      </c>
      <c r="J349">
        <v>626</v>
      </c>
      <c r="K349">
        <v>39908</v>
      </c>
    </row>
    <row r="350" spans="1:11" x14ac:dyDescent="0.25">
      <c r="A350" t="s">
        <v>37</v>
      </c>
      <c r="B350" t="s">
        <v>51</v>
      </c>
      <c r="C350" t="s">
        <v>24</v>
      </c>
      <c r="D350" t="s">
        <v>21</v>
      </c>
      <c r="E350">
        <v>6</v>
      </c>
      <c r="F350" t="s">
        <v>14</v>
      </c>
      <c r="G350" cm="1">
        <f t="array" ref="G350">_xlfn.SWITCH(LOWER(TRIM(F350)),
"enero",1,
"febrero",2,
"marzo",3,
"abril",4,
"mayo",5,
"junio",6,
"julio",7,
"agosto",8,
"septiembre",9,
"octubre",10,
"noviembre",11,
"diciembre",12)</f>
        <v>8</v>
      </c>
      <c r="H350">
        <v>6950613</v>
      </c>
      <c r="I350">
        <v>177</v>
      </c>
      <c r="J350">
        <v>117</v>
      </c>
      <c r="K350">
        <v>39269</v>
      </c>
    </row>
    <row r="351" spans="1:11" x14ac:dyDescent="0.25">
      <c r="A351" t="s">
        <v>37</v>
      </c>
      <c r="B351" t="s">
        <v>58</v>
      </c>
      <c r="C351" t="s">
        <v>12</v>
      </c>
      <c r="D351" t="s">
        <v>21</v>
      </c>
      <c r="E351">
        <v>12</v>
      </c>
      <c r="F351" t="s">
        <v>30</v>
      </c>
      <c r="G351" cm="1">
        <f t="array" ref="G351">_xlfn.SWITCH(LOWER(TRIM(F351)),
"enero",1,
"febrero",2,
"marzo",3,
"abril",4,
"mayo",5,
"junio",6,
"julio",7,
"agosto",8,
"septiembre",9,
"octubre",10,
"noviembre",11,
"diciembre",12)</f>
        <v>10</v>
      </c>
      <c r="H351">
        <v>8913056</v>
      </c>
      <c r="I351">
        <v>142</v>
      </c>
      <c r="J351">
        <v>404</v>
      </c>
      <c r="K351">
        <v>62768</v>
      </c>
    </row>
    <row r="352" spans="1:11" x14ac:dyDescent="0.25">
      <c r="A352" t="s">
        <v>18</v>
      </c>
      <c r="B352" t="s">
        <v>41</v>
      </c>
      <c r="C352" t="s">
        <v>42</v>
      </c>
      <c r="D352" t="s">
        <v>25</v>
      </c>
      <c r="E352">
        <v>22</v>
      </c>
      <c r="F352" t="s">
        <v>60</v>
      </c>
      <c r="G352" cm="1">
        <f t="array" ref="G352">_xlfn.SWITCH(LOWER(TRIM(F352)),
"enero",1,
"febrero",2,
"marzo",3,
"abril",4,
"mayo",5,
"junio",6,
"julio",7,
"agosto",8,
"septiembre",9,
"octubre",10,
"noviembre",11,
"diciembre",12)</f>
        <v>4</v>
      </c>
      <c r="H352">
        <v>6284290</v>
      </c>
      <c r="I352">
        <v>178</v>
      </c>
      <c r="J352">
        <v>538</v>
      </c>
      <c r="K352">
        <v>35305</v>
      </c>
    </row>
    <row r="353" spans="1:11" x14ac:dyDescent="0.25">
      <c r="A353" t="s">
        <v>10</v>
      </c>
      <c r="B353" t="s">
        <v>27</v>
      </c>
      <c r="C353" t="s">
        <v>28</v>
      </c>
      <c r="D353" t="s">
        <v>29</v>
      </c>
      <c r="E353">
        <v>22</v>
      </c>
      <c r="F353" t="s">
        <v>46</v>
      </c>
      <c r="G353" cm="1">
        <f t="array" ref="G353">_xlfn.SWITCH(LOWER(TRIM(F353)),
"enero",1,
"febrero",2,
"marzo",3,
"abril",4,
"mayo",5,
"junio",6,
"julio",7,
"agosto",8,
"septiembre",9,
"octubre",10,
"noviembre",11,
"diciembre",12)</f>
        <v>3</v>
      </c>
      <c r="H353">
        <v>2998100</v>
      </c>
      <c r="I353">
        <v>50</v>
      </c>
      <c r="J353">
        <v>42</v>
      </c>
      <c r="K353">
        <v>59962</v>
      </c>
    </row>
    <row r="354" spans="1:11" x14ac:dyDescent="0.25">
      <c r="A354" t="s">
        <v>37</v>
      </c>
      <c r="B354" t="s">
        <v>59</v>
      </c>
      <c r="C354" t="s">
        <v>12</v>
      </c>
      <c r="D354" t="s">
        <v>25</v>
      </c>
      <c r="E354">
        <v>28</v>
      </c>
      <c r="F354" t="s">
        <v>30</v>
      </c>
      <c r="G354" cm="1">
        <f t="array" ref="G354">_xlfn.SWITCH(LOWER(TRIM(F354)),
"enero",1,
"febrero",2,
"marzo",3,
"abril",4,
"mayo",5,
"junio",6,
"julio",7,
"agosto",8,
"septiembre",9,
"octubre",10,
"noviembre",11,
"diciembre",12)</f>
        <v>10</v>
      </c>
      <c r="H354">
        <v>8678145</v>
      </c>
      <c r="I354">
        <v>147</v>
      </c>
      <c r="J354">
        <v>575</v>
      </c>
      <c r="K354">
        <v>59035</v>
      </c>
    </row>
    <row r="355" spans="1:11" x14ac:dyDescent="0.25">
      <c r="A355" t="s">
        <v>31</v>
      </c>
      <c r="B355" t="s">
        <v>11</v>
      </c>
      <c r="C355" t="s">
        <v>12</v>
      </c>
      <c r="D355" t="s">
        <v>13</v>
      </c>
      <c r="E355">
        <v>32</v>
      </c>
      <c r="F355" t="s">
        <v>35</v>
      </c>
      <c r="G355" cm="1">
        <f t="array" ref="G355">_xlfn.SWITCH(LOWER(TRIM(F355)),
"enero",1,
"febrero",2,
"marzo",3,
"abril",4,
"mayo",5,
"junio",6,
"julio",7,
"agosto",8,
"septiembre",9,
"octubre",10,
"noviembre",11,
"diciembre",12)</f>
        <v>6</v>
      </c>
      <c r="H355">
        <v>1897720</v>
      </c>
      <c r="I355">
        <v>44</v>
      </c>
      <c r="J355">
        <v>446</v>
      </c>
      <c r="K355">
        <v>43130</v>
      </c>
    </row>
    <row r="356" spans="1:11" x14ac:dyDescent="0.25">
      <c r="A356" t="s">
        <v>18</v>
      </c>
      <c r="B356" t="s">
        <v>36</v>
      </c>
      <c r="C356" t="s">
        <v>20</v>
      </c>
      <c r="D356" t="s">
        <v>29</v>
      </c>
      <c r="E356">
        <v>25</v>
      </c>
      <c r="F356" t="s">
        <v>30</v>
      </c>
      <c r="G356" cm="1">
        <f t="array" ref="G356">_xlfn.SWITCH(LOWER(TRIM(F356)),
"enero",1,
"febrero",2,
"marzo",3,
"abril",4,
"mayo",5,
"junio",6,
"julio",7,
"agosto",8,
"septiembre",9,
"octubre",10,
"noviembre",11,
"diciembre",12)</f>
        <v>10</v>
      </c>
      <c r="H356">
        <v>3694281</v>
      </c>
      <c r="I356">
        <v>87</v>
      </c>
      <c r="J356">
        <v>721</v>
      </c>
      <c r="K356">
        <v>42463</v>
      </c>
    </row>
    <row r="357" spans="1:11" x14ac:dyDescent="0.25">
      <c r="A357" t="s">
        <v>31</v>
      </c>
      <c r="B357" t="s">
        <v>11</v>
      </c>
      <c r="C357" t="s">
        <v>12</v>
      </c>
      <c r="D357" t="s">
        <v>13</v>
      </c>
      <c r="E357">
        <v>46</v>
      </c>
      <c r="F357" t="s">
        <v>33</v>
      </c>
      <c r="G357" cm="1">
        <f t="array" ref="G357">_xlfn.SWITCH(LOWER(TRIM(F357)),
"enero",1,
"febrero",2,
"marzo",3,
"abril",4,
"mayo",5,
"junio",6,
"julio",7,
"agosto",8,
"septiembre",9,
"octubre",10,
"noviembre",11,
"diciembre",12)</f>
        <v>1</v>
      </c>
      <c r="H357">
        <v>7001310</v>
      </c>
      <c r="I357">
        <v>173</v>
      </c>
      <c r="J357">
        <v>18</v>
      </c>
      <c r="K357">
        <v>40470</v>
      </c>
    </row>
    <row r="358" spans="1:11" x14ac:dyDescent="0.25">
      <c r="A358" t="s">
        <v>18</v>
      </c>
      <c r="B358" t="s">
        <v>44</v>
      </c>
      <c r="C358" t="s">
        <v>42</v>
      </c>
      <c r="D358" t="s">
        <v>13</v>
      </c>
      <c r="E358">
        <v>19</v>
      </c>
      <c r="F358" t="s">
        <v>35</v>
      </c>
      <c r="G358" cm="1">
        <f t="array" ref="G358">_xlfn.SWITCH(LOWER(TRIM(F358)),
"enero",1,
"febrero",2,
"marzo",3,
"abril",4,
"mayo",5,
"junio",6,
"julio",7,
"agosto",8,
"septiembre",9,
"octubre",10,
"noviembre",11,
"diciembre",12)</f>
        <v>6</v>
      </c>
      <c r="H358">
        <v>5653400</v>
      </c>
      <c r="I358">
        <v>92</v>
      </c>
      <c r="J358">
        <v>395</v>
      </c>
      <c r="K358">
        <v>61450</v>
      </c>
    </row>
    <row r="359" spans="1:11" x14ac:dyDescent="0.25">
      <c r="A359" t="s">
        <v>31</v>
      </c>
      <c r="B359" t="s">
        <v>41</v>
      </c>
      <c r="C359" t="s">
        <v>42</v>
      </c>
      <c r="D359" t="s">
        <v>25</v>
      </c>
      <c r="E359">
        <v>25</v>
      </c>
      <c r="F359" t="s">
        <v>22</v>
      </c>
      <c r="G359" cm="1">
        <f t="array" ref="G359">_xlfn.SWITCH(LOWER(TRIM(F359)),
"enero",1,
"febrero",2,
"marzo",3,
"abril",4,
"mayo",5,
"junio",6,
"julio",7,
"agosto",8,
"septiembre",9,
"octubre",10,
"noviembre",11,
"diciembre",12)</f>
        <v>7</v>
      </c>
      <c r="H359">
        <v>1899768</v>
      </c>
      <c r="I359">
        <v>39</v>
      </c>
      <c r="J359">
        <v>381</v>
      </c>
      <c r="K359">
        <v>48712</v>
      </c>
    </row>
    <row r="360" spans="1:11" x14ac:dyDescent="0.25">
      <c r="A360" t="s">
        <v>15</v>
      </c>
      <c r="B360" t="s">
        <v>19</v>
      </c>
      <c r="C360" t="s">
        <v>20</v>
      </c>
      <c r="D360" t="s">
        <v>21</v>
      </c>
      <c r="E360">
        <v>34</v>
      </c>
      <c r="F360" t="s">
        <v>49</v>
      </c>
      <c r="G360" cm="1">
        <f t="array" ref="G360">_xlfn.SWITCH(LOWER(TRIM(F360)),
"enero",1,
"febrero",2,
"marzo",3,
"abril",4,
"mayo",5,
"junio",6,
"julio",7,
"agosto",8,
"septiembre",9,
"octubre",10,
"noviembre",11,
"diciembre",12)</f>
        <v>11</v>
      </c>
      <c r="H360">
        <v>7506261</v>
      </c>
      <c r="I360">
        <v>147</v>
      </c>
      <c r="J360">
        <v>358</v>
      </c>
      <c r="K360">
        <v>51063</v>
      </c>
    </row>
    <row r="361" spans="1:11" x14ac:dyDescent="0.25">
      <c r="A361" t="s">
        <v>10</v>
      </c>
      <c r="B361" t="s">
        <v>27</v>
      </c>
      <c r="C361" t="s">
        <v>28</v>
      </c>
      <c r="D361" t="s">
        <v>29</v>
      </c>
      <c r="E361">
        <v>7</v>
      </c>
      <c r="F361" t="s">
        <v>39</v>
      </c>
      <c r="G361" cm="1">
        <f t="array" ref="G361">_xlfn.SWITCH(LOWER(TRIM(F361)),
"enero",1,
"febrero",2,
"marzo",3,
"abril",4,
"mayo",5,
"junio",6,
"julio",7,
"agosto",8,
"septiembre",9,
"octubre",10,
"noviembre",11,
"diciembre",12)</f>
        <v>12</v>
      </c>
      <c r="H361">
        <v>5512782</v>
      </c>
      <c r="I361">
        <v>101</v>
      </c>
      <c r="J361">
        <v>15</v>
      </c>
      <c r="K361">
        <v>54582</v>
      </c>
    </row>
    <row r="362" spans="1:11" x14ac:dyDescent="0.25">
      <c r="A362" t="s">
        <v>18</v>
      </c>
      <c r="B362" t="s">
        <v>57</v>
      </c>
      <c r="C362" t="s">
        <v>42</v>
      </c>
      <c r="D362" t="s">
        <v>17</v>
      </c>
      <c r="E362">
        <v>26</v>
      </c>
      <c r="F362" t="s">
        <v>30</v>
      </c>
      <c r="G362" cm="1">
        <f t="array" ref="G362">_xlfn.SWITCH(LOWER(TRIM(F362)),
"enero",1,
"febrero",2,
"marzo",3,
"abril",4,
"mayo",5,
"junio",6,
"julio",7,
"agosto",8,
"septiembre",9,
"octubre",10,
"noviembre",11,
"diciembre",12)</f>
        <v>10</v>
      </c>
      <c r="H362">
        <v>7988485</v>
      </c>
      <c r="I362">
        <v>145</v>
      </c>
      <c r="J362">
        <v>480</v>
      </c>
      <c r="K362">
        <v>55093</v>
      </c>
    </row>
    <row r="363" spans="1:11" x14ac:dyDescent="0.25">
      <c r="A363" t="s">
        <v>37</v>
      </c>
      <c r="B363" t="s">
        <v>52</v>
      </c>
      <c r="C363" t="s">
        <v>24</v>
      </c>
      <c r="D363" t="s">
        <v>13</v>
      </c>
      <c r="E363">
        <v>40</v>
      </c>
      <c r="F363" t="s">
        <v>39</v>
      </c>
      <c r="G363" cm="1">
        <f t="array" ref="G363">_xlfn.SWITCH(LOWER(TRIM(F363)),
"enero",1,
"febrero",2,
"marzo",3,
"abril",4,
"mayo",5,
"junio",6,
"julio",7,
"agosto",8,
"septiembre",9,
"octubre",10,
"noviembre",11,
"diciembre",12)</f>
        <v>12</v>
      </c>
      <c r="H363">
        <v>4130184</v>
      </c>
      <c r="I363">
        <v>102</v>
      </c>
      <c r="J363">
        <v>33</v>
      </c>
      <c r="K363">
        <v>40492</v>
      </c>
    </row>
    <row r="364" spans="1:11" x14ac:dyDescent="0.25">
      <c r="A364" t="s">
        <v>37</v>
      </c>
      <c r="B364" t="s">
        <v>58</v>
      </c>
      <c r="C364" t="s">
        <v>12</v>
      </c>
      <c r="D364" t="s">
        <v>21</v>
      </c>
      <c r="E364">
        <v>33</v>
      </c>
      <c r="F364" t="s">
        <v>49</v>
      </c>
      <c r="G364" cm="1">
        <f t="array" ref="G364">_xlfn.SWITCH(LOWER(TRIM(F364)),
"enero",1,
"febrero",2,
"marzo",3,
"abril",4,
"mayo",5,
"junio",6,
"julio",7,
"agosto",8,
"septiembre",9,
"octubre",10,
"noviembre",11,
"diciembre",12)</f>
        <v>11</v>
      </c>
      <c r="H364">
        <v>5348880</v>
      </c>
      <c r="I364">
        <v>115</v>
      </c>
      <c r="J364">
        <v>656</v>
      </c>
      <c r="K364">
        <v>46512</v>
      </c>
    </row>
    <row r="365" spans="1:11" x14ac:dyDescent="0.25">
      <c r="A365" t="s">
        <v>31</v>
      </c>
      <c r="B365" t="s">
        <v>53</v>
      </c>
      <c r="C365" t="s">
        <v>24</v>
      </c>
      <c r="D365" t="s">
        <v>29</v>
      </c>
      <c r="E365">
        <v>40</v>
      </c>
      <c r="F365" t="s">
        <v>22</v>
      </c>
      <c r="G365" cm="1">
        <f t="array" ref="G365">_xlfn.SWITCH(LOWER(TRIM(F365)),
"enero",1,
"febrero",2,
"marzo",3,
"abril",4,
"mayo",5,
"junio",6,
"julio",7,
"agosto",8,
"septiembre",9,
"octubre",10,
"noviembre",11,
"diciembre",12)</f>
        <v>7</v>
      </c>
      <c r="H365">
        <v>2129904</v>
      </c>
      <c r="I365">
        <v>56</v>
      </c>
      <c r="J365">
        <v>509</v>
      </c>
      <c r="K365">
        <v>38034</v>
      </c>
    </row>
    <row r="366" spans="1:11" x14ac:dyDescent="0.25">
      <c r="A366" t="s">
        <v>10</v>
      </c>
      <c r="B366" t="s">
        <v>38</v>
      </c>
      <c r="C366" t="s">
        <v>20</v>
      </c>
      <c r="D366" t="s">
        <v>25</v>
      </c>
      <c r="E366">
        <v>2</v>
      </c>
      <c r="F366" t="s">
        <v>14</v>
      </c>
      <c r="G366" cm="1">
        <f t="array" ref="G366">_xlfn.SWITCH(LOWER(TRIM(F366)),
"enero",1,
"febrero",2,
"marzo",3,
"abril",4,
"mayo",5,
"junio",6,
"julio",7,
"agosto",8,
"septiembre",9,
"octubre",10,
"noviembre",11,
"diciembre",12)</f>
        <v>8</v>
      </c>
      <c r="H366">
        <v>8657376</v>
      </c>
      <c r="I366">
        <v>156</v>
      </c>
      <c r="J366">
        <v>579</v>
      </c>
      <c r="K366">
        <v>55496</v>
      </c>
    </row>
    <row r="367" spans="1:11" x14ac:dyDescent="0.25">
      <c r="A367" t="s">
        <v>10</v>
      </c>
      <c r="B367" t="s">
        <v>27</v>
      </c>
      <c r="C367" t="s">
        <v>28</v>
      </c>
      <c r="D367" t="s">
        <v>29</v>
      </c>
      <c r="E367">
        <v>8</v>
      </c>
      <c r="F367" t="s">
        <v>33</v>
      </c>
      <c r="G367" cm="1">
        <f t="array" ref="G367">_xlfn.SWITCH(LOWER(TRIM(F367)),
"enero",1,
"febrero",2,
"marzo",3,
"abril",4,
"mayo",5,
"junio",6,
"julio",7,
"agosto",8,
"septiembre",9,
"octubre",10,
"noviembre",11,
"diciembre",12)</f>
        <v>1</v>
      </c>
      <c r="H367">
        <v>7755979</v>
      </c>
      <c r="I367">
        <v>121</v>
      </c>
      <c r="J367">
        <v>528</v>
      </c>
      <c r="K367">
        <v>64099</v>
      </c>
    </row>
    <row r="368" spans="1:11" x14ac:dyDescent="0.25">
      <c r="A368" t="s">
        <v>31</v>
      </c>
      <c r="B368" t="s">
        <v>32</v>
      </c>
      <c r="C368" t="s">
        <v>28</v>
      </c>
      <c r="D368" t="s">
        <v>17</v>
      </c>
      <c r="E368">
        <v>28</v>
      </c>
      <c r="F368" t="s">
        <v>35</v>
      </c>
      <c r="G368" cm="1">
        <f t="array" ref="G368">_xlfn.SWITCH(LOWER(TRIM(F368)),
"enero",1,
"febrero",2,
"marzo",3,
"abril",4,
"mayo",5,
"junio",6,
"julio",7,
"agosto",8,
"septiembre",9,
"octubre",10,
"noviembre",11,
"diciembre",12)</f>
        <v>6</v>
      </c>
      <c r="H368">
        <v>9502675</v>
      </c>
      <c r="I368">
        <v>175</v>
      </c>
      <c r="J368">
        <v>674</v>
      </c>
      <c r="K368">
        <v>54301</v>
      </c>
    </row>
    <row r="369" spans="1:11" x14ac:dyDescent="0.25">
      <c r="A369" t="s">
        <v>37</v>
      </c>
      <c r="B369" t="s">
        <v>47</v>
      </c>
      <c r="C369" t="s">
        <v>42</v>
      </c>
      <c r="D369" t="s">
        <v>29</v>
      </c>
      <c r="E369">
        <v>36</v>
      </c>
      <c r="F369" t="s">
        <v>39</v>
      </c>
      <c r="G369" cm="1">
        <f t="array" ref="G369">_xlfn.SWITCH(LOWER(TRIM(F369)),
"enero",1,
"febrero",2,
"marzo",3,
"abril",4,
"mayo",5,
"junio",6,
"julio",7,
"agosto",8,
"septiembre",9,
"octubre",10,
"noviembre",11,
"diciembre",12)</f>
        <v>12</v>
      </c>
      <c r="H369">
        <v>7310394</v>
      </c>
      <c r="I369">
        <v>126</v>
      </c>
      <c r="J369">
        <v>843</v>
      </c>
      <c r="K369">
        <v>58019</v>
      </c>
    </row>
    <row r="370" spans="1:11" x14ac:dyDescent="0.25">
      <c r="A370" t="s">
        <v>37</v>
      </c>
      <c r="B370" t="s">
        <v>44</v>
      </c>
      <c r="C370" t="s">
        <v>42</v>
      </c>
      <c r="D370" t="s">
        <v>13</v>
      </c>
      <c r="E370">
        <v>27</v>
      </c>
      <c r="F370" t="s">
        <v>39</v>
      </c>
      <c r="G370" cm="1">
        <f t="array" ref="G370">_xlfn.SWITCH(LOWER(TRIM(F370)),
"enero",1,
"febrero",2,
"marzo",3,
"abril",4,
"mayo",5,
"junio",6,
"julio",7,
"agosto",8,
"septiembre",9,
"octubre",10,
"noviembre",11,
"diciembre",12)</f>
        <v>12</v>
      </c>
      <c r="H370">
        <v>4280280</v>
      </c>
      <c r="I370">
        <v>120</v>
      </c>
      <c r="J370">
        <v>472</v>
      </c>
      <c r="K370">
        <v>35669</v>
      </c>
    </row>
    <row r="371" spans="1:11" x14ac:dyDescent="0.25">
      <c r="A371" t="s">
        <v>37</v>
      </c>
      <c r="B371" t="s">
        <v>56</v>
      </c>
      <c r="C371" t="s">
        <v>24</v>
      </c>
      <c r="D371" t="s">
        <v>17</v>
      </c>
      <c r="E371">
        <v>27</v>
      </c>
      <c r="F371" t="s">
        <v>30</v>
      </c>
      <c r="G371" cm="1">
        <f t="array" ref="G371">_xlfn.SWITCH(LOWER(TRIM(F371)),
"enero",1,
"febrero",2,
"marzo",3,
"abril",4,
"mayo",5,
"junio",6,
"julio",7,
"agosto",8,
"septiembre",9,
"octubre",10,
"noviembre",11,
"diciembre",12)</f>
        <v>10</v>
      </c>
      <c r="H371">
        <v>7325815</v>
      </c>
      <c r="I371">
        <v>185</v>
      </c>
      <c r="J371">
        <v>734</v>
      </c>
      <c r="K371">
        <v>39599</v>
      </c>
    </row>
    <row r="372" spans="1:11" x14ac:dyDescent="0.25">
      <c r="A372" t="s">
        <v>37</v>
      </c>
      <c r="B372" t="s">
        <v>19</v>
      </c>
      <c r="C372" t="s">
        <v>20</v>
      </c>
      <c r="D372" t="s">
        <v>21</v>
      </c>
      <c r="E372">
        <v>42</v>
      </c>
      <c r="F372" t="s">
        <v>30</v>
      </c>
      <c r="G372" cm="1">
        <f t="array" ref="G372">_xlfn.SWITCH(LOWER(TRIM(F372)),
"enero",1,
"febrero",2,
"marzo",3,
"abril",4,
"mayo",5,
"junio",6,
"julio",7,
"agosto",8,
"septiembre",9,
"octubre",10,
"noviembre",11,
"diciembre",12)</f>
        <v>10</v>
      </c>
      <c r="H372">
        <v>3612994</v>
      </c>
      <c r="I372">
        <v>58</v>
      </c>
      <c r="J372">
        <v>636</v>
      </c>
      <c r="K372">
        <v>62293</v>
      </c>
    </row>
    <row r="373" spans="1:11" x14ac:dyDescent="0.25">
      <c r="A373" t="s">
        <v>37</v>
      </c>
      <c r="B373" t="s">
        <v>19</v>
      </c>
      <c r="C373" t="s">
        <v>20</v>
      </c>
      <c r="D373" t="s">
        <v>21</v>
      </c>
      <c r="E373">
        <v>4</v>
      </c>
      <c r="F373" t="s">
        <v>60</v>
      </c>
      <c r="G373" cm="1">
        <f t="array" ref="G373">_xlfn.SWITCH(LOWER(TRIM(F373)),
"enero",1,
"febrero",2,
"marzo",3,
"abril",4,
"mayo",5,
"junio",6,
"julio",7,
"agosto",8,
"septiembre",9,
"octubre",10,
"noviembre",11,
"diciembre",12)</f>
        <v>4</v>
      </c>
      <c r="H373">
        <v>6667111</v>
      </c>
      <c r="I373">
        <v>187</v>
      </c>
      <c r="J373">
        <v>606</v>
      </c>
      <c r="K373">
        <v>35653</v>
      </c>
    </row>
    <row r="374" spans="1:11" x14ac:dyDescent="0.25">
      <c r="A374" t="s">
        <v>10</v>
      </c>
      <c r="B374" t="s">
        <v>50</v>
      </c>
      <c r="C374" t="s">
        <v>20</v>
      </c>
      <c r="D374" t="s">
        <v>17</v>
      </c>
      <c r="E374">
        <v>14</v>
      </c>
      <c r="F374" t="s">
        <v>39</v>
      </c>
      <c r="G374" cm="1">
        <f t="array" ref="G374">_xlfn.SWITCH(LOWER(TRIM(F374)),
"enero",1,
"febrero",2,
"marzo",3,
"abril",4,
"mayo",5,
"junio",6,
"julio",7,
"agosto",8,
"septiembre",9,
"octubre",10,
"noviembre",11,
"diciembre",12)</f>
        <v>12</v>
      </c>
      <c r="H374">
        <v>2834590</v>
      </c>
      <c r="I374">
        <v>55</v>
      </c>
      <c r="J374">
        <v>487</v>
      </c>
      <c r="K374">
        <v>51538</v>
      </c>
    </row>
    <row r="375" spans="1:11" x14ac:dyDescent="0.25">
      <c r="A375" t="s">
        <v>31</v>
      </c>
      <c r="B375" t="s">
        <v>59</v>
      </c>
      <c r="C375" t="s">
        <v>12</v>
      </c>
      <c r="D375" t="s">
        <v>25</v>
      </c>
      <c r="E375">
        <v>46</v>
      </c>
      <c r="F375" t="s">
        <v>30</v>
      </c>
      <c r="G375" cm="1">
        <f t="array" ref="G375">_xlfn.SWITCH(LOWER(TRIM(F375)),
"enero",1,
"febrero",2,
"marzo",3,
"abril",4,
"mayo",5,
"junio",6,
"julio",7,
"agosto",8,
"septiembre",9,
"octubre",10,
"noviembre",11,
"diciembre",12)</f>
        <v>10</v>
      </c>
      <c r="H375">
        <v>2732990</v>
      </c>
      <c r="I375">
        <v>65</v>
      </c>
      <c r="J375">
        <v>631</v>
      </c>
      <c r="K375">
        <v>42046</v>
      </c>
    </row>
    <row r="376" spans="1:11" x14ac:dyDescent="0.25">
      <c r="A376" t="s">
        <v>37</v>
      </c>
      <c r="B376" t="s">
        <v>48</v>
      </c>
      <c r="C376" t="s">
        <v>20</v>
      </c>
      <c r="D376" t="s">
        <v>13</v>
      </c>
      <c r="E376">
        <v>19</v>
      </c>
      <c r="F376" t="s">
        <v>49</v>
      </c>
      <c r="G376" cm="1">
        <f t="array" ref="G376">_xlfn.SWITCH(LOWER(TRIM(F376)),
"enero",1,
"febrero",2,
"marzo",3,
"abril",4,
"mayo",5,
"junio",6,
"julio",7,
"agosto",8,
"septiembre",9,
"octubre",10,
"noviembre",11,
"diciembre",12)</f>
        <v>11</v>
      </c>
      <c r="H376">
        <v>3099888</v>
      </c>
      <c r="I376">
        <v>57</v>
      </c>
      <c r="J376">
        <v>875</v>
      </c>
      <c r="K376">
        <v>54384</v>
      </c>
    </row>
    <row r="377" spans="1:11" x14ac:dyDescent="0.25">
      <c r="A377" t="s">
        <v>18</v>
      </c>
      <c r="B377" t="s">
        <v>58</v>
      </c>
      <c r="C377" t="s">
        <v>12</v>
      </c>
      <c r="D377" t="s">
        <v>21</v>
      </c>
      <c r="E377">
        <v>1</v>
      </c>
      <c r="F377" t="s">
        <v>39</v>
      </c>
      <c r="G377" cm="1">
        <f t="array" ref="G377">_xlfn.SWITCH(LOWER(TRIM(F377)),
"enero",1,
"febrero",2,
"marzo",3,
"abril",4,
"mayo",5,
"junio",6,
"julio",7,
"agosto",8,
"septiembre",9,
"octubre",10,
"noviembre",11,
"diciembre",12)</f>
        <v>12</v>
      </c>
      <c r="H377">
        <v>7722117</v>
      </c>
      <c r="I377">
        <v>169</v>
      </c>
      <c r="J377">
        <v>64</v>
      </c>
      <c r="K377">
        <v>45693</v>
      </c>
    </row>
    <row r="378" spans="1:11" x14ac:dyDescent="0.25">
      <c r="A378" t="s">
        <v>18</v>
      </c>
      <c r="B378" t="s">
        <v>52</v>
      </c>
      <c r="C378" t="s">
        <v>24</v>
      </c>
      <c r="D378" t="s">
        <v>13</v>
      </c>
      <c r="E378">
        <v>51</v>
      </c>
      <c r="F378" t="s">
        <v>35</v>
      </c>
      <c r="G378" cm="1">
        <f t="array" ref="G378">_xlfn.SWITCH(LOWER(TRIM(F378)),
"enero",1,
"febrero",2,
"marzo",3,
"abril",4,
"mayo",5,
"junio",6,
"julio",7,
"agosto",8,
"septiembre",9,
"octubre",10,
"noviembre",11,
"diciembre",12)</f>
        <v>6</v>
      </c>
      <c r="H378">
        <v>4286040</v>
      </c>
      <c r="I378">
        <v>88</v>
      </c>
      <c r="J378">
        <v>187</v>
      </c>
      <c r="K378">
        <v>48705</v>
      </c>
    </row>
    <row r="379" spans="1:11" x14ac:dyDescent="0.25">
      <c r="A379" t="s">
        <v>31</v>
      </c>
      <c r="B379" t="s">
        <v>40</v>
      </c>
      <c r="C379" t="s">
        <v>12</v>
      </c>
      <c r="D379" t="s">
        <v>29</v>
      </c>
      <c r="E379">
        <v>52</v>
      </c>
      <c r="F379" t="s">
        <v>39</v>
      </c>
      <c r="G379" cm="1">
        <f t="array" ref="G379">_xlfn.SWITCH(LOWER(TRIM(F379)),
"enero",1,
"febrero",2,
"marzo",3,
"abril",4,
"mayo",5,
"junio",6,
"julio",7,
"agosto",8,
"septiembre",9,
"octubre",10,
"noviembre",11,
"diciembre",12)</f>
        <v>12</v>
      </c>
      <c r="H379">
        <v>10417498</v>
      </c>
      <c r="I379">
        <v>182</v>
      </c>
      <c r="J379">
        <v>336</v>
      </c>
      <c r="K379">
        <v>57239</v>
      </c>
    </row>
    <row r="380" spans="1:11" x14ac:dyDescent="0.25">
      <c r="A380" t="s">
        <v>18</v>
      </c>
      <c r="B380" t="s">
        <v>40</v>
      </c>
      <c r="C380" t="s">
        <v>12</v>
      </c>
      <c r="D380" t="s">
        <v>29</v>
      </c>
      <c r="E380">
        <v>18</v>
      </c>
      <c r="F380" t="s">
        <v>30</v>
      </c>
      <c r="G380" cm="1">
        <f t="array" ref="G380">_xlfn.SWITCH(LOWER(TRIM(F380)),
"enero",1,
"febrero",2,
"marzo",3,
"abril",4,
"mayo",5,
"junio",6,
"julio",7,
"agosto",8,
"septiembre",9,
"octubre",10,
"noviembre",11,
"diciembre",12)</f>
        <v>10</v>
      </c>
      <c r="H380">
        <v>7803315</v>
      </c>
      <c r="I380">
        <v>195</v>
      </c>
      <c r="J380">
        <v>579</v>
      </c>
      <c r="K380">
        <v>40017</v>
      </c>
    </row>
    <row r="381" spans="1:11" x14ac:dyDescent="0.25">
      <c r="A381" t="s">
        <v>10</v>
      </c>
      <c r="B381" t="s">
        <v>51</v>
      </c>
      <c r="C381" t="s">
        <v>24</v>
      </c>
      <c r="D381" t="s">
        <v>21</v>
      </c>
      <c r="E381">
        <v>35</v>
      </c>
      <c r="F381" t="s">
        <v>14</v>
      </c>
      <c r="G381" cm="1">
        <f t="array" ref="G381">_xlfn.SWITCH(LOWER(TRIM(F381)),
"enero",1,
"febrero",2,
"marzo",3,
"abril",4,
"mayo",5,
"junio",6,
"julio",7,
"agosto",8,
"septiembre",9,
"octubre",10,
"noviembre",11,
"diciembre",12)</f>
        <v>8</v>
      </c>
      <c r="H381">
        <v>4548800</v>
      </c>
      <c r="I381">
        <v>80</v>
      </c>
      <c r="J381">
        <v>627</v>
      </c>
      <c r="K381">
        <v>56860</v>
      </c>
    </row>
    <row r="382" spans="1:11" x14ac:dyDescent="0.25">
      <c r="A382" t="s">
        <v>37</v>
      </c>
      <c r="B382" t="s">
        <v>38</v>
      </c>
      <c r="C382" t="s">
        <v>20</v>
      </c>
      <c r="D382" t="s">
        <v>25</v>
      </c>
      <c r="E382">
        <v>11</v>
      </c>
      <c r="F382" t="s">
        <v>14</v>
      </c>
      <c r="G382" cm="1">
        <f t="array" ref="G382">_xlfn.SWITCH(LOWER(TRIM(F382)),
"enero",1,
"febrero",2,
"marzo",3,
"abril",4,
"mayo",5,
"junio",6,
"julio",7,
"agosto",8,
"septiembre",9,
"octubre",10,
"noviembre",11,
"diciembre",12)</f>
        <v>8</v>
      </c>
      <c r="H382">
        <v>3490476</v>
      </c>
      <c r="I382">
        <v>62</v>
      </c>
      <c r="J382">
        <v>116</v>
      </c>
      <c r="K382">
        <v>56298</v>
      </c>
    </row>
    <row r="383" spans="1:11" x14ac:dyDescent="0.25">
      <c r="A383" t="s">
        <v>31</v>
      </c>
      <c r="B383" t="s">
        <v>36</v>
      </c>
      <c r="C383" t="s">
        <v>20</v>
      </c>
      <c r="D383" t="s">
        <v>29</v>
      </c>
      <c r="E383">
        <v>14</v>
      </c>
      <c r="F383" t="s">
        <v>22</v>
      </c>
      <c r="G383" cm="1">
        <f t="array" ref="G383">_xlfn.SWITCH(LOWER(TRIM(F383)),
"enero",1,
"febrero",2,
"marzo",3,
"abril",4,
"mayo",5,
"junio",6,
"julio",7,
"agosto",8,
"septiembre",9,
"octubre",10,
"noviembre",11,
"diciembre",12)</f>
        <v>7</v>
      </c>
      <c r="H383">
        <v>6708128</v>
      </c>
      <c r="I383">
        <v>112</v>
      </c>
      <c r="J383">
        <v>204</v>
      </c>
      <c r="K383">
        <v>59894</v>
      </c>
    </row>
    <row r="384" spans="1:11" x14ac:dyDescent="0.25">
      <c r="A384" t="s">
        <v>10</v>
      </c>
      <c r="B384" t="s">
        <v>57</v>
      </c>
      <c r="C384" t="s">
        <v>42</v>
      </c>
      <c r="D384" t="s">
        <v>17</v>
      </c>
      <c r="E384">
        <v>44</v>
      </c>
      <c r="F384" t="s">
        <v>60</v>
      </c>
      <c r="G384" cm="1">
        <f t="array" ref="G384">_xlfn.SWITCH(LOWER(TRIM(F384)),
"enero",1,
"febrero",2,
"marzo",3,
"abril",4,
"mayo",5,
"junio",6,
"julio",7,
"agosto",8,
"septiembre",9,
"octubre",10,
"noviembre",11,
"diciembre",12)</f>
        <v>4</v>
      </c>
      <c r="H384">
        <v>6817104</v>
      </c>
      <c r="I384">
        <v>168</v>
      </c>
      <c r="J384">
        <v>255</v>
      </c>
      <c r="K384">
        <v>40578</v>
      </c>
    </row>
    <row r="385" spans="1:11" x14ac:dyDescent="0.25">
      <c r="A385" t="s">
        <v>37</v>
      </c>
      <c r="B385" t="s">
        <v>47</v>
      </c>
      <c r="C385" t="s">
        <v>42</v>
      </c>
      <c r="D385" t="s">
        <v>29</v>
      </c>
      <c r="E385">
        <v>37</v>
      </c>
      <c r="F385" t="s">
        <v>46</v>
      </c>
      <c r="G385" cm="1">
        <f t="array" ref="G385">_xlfn.SWITCH(LOWER(TRIM(F385)),
"enero",1,
"febrero",2,
"marzo",3,
"abril",4,
"mayo",5,
"junio",6,
"julio",7,
"agosto",8,
"septiembre",9,
"octubre",10,
"noviembre",11,
"diciembre",12)</f>
        <v>3</v>
      </c>
      <c r="H385">
        <v>2863446</v>
      </c>
      <c r="I385">
        <v>51</v>
      </c>
      <c r="J385">
        <v>126</v>
      </c>
      <c r="K385">
        <v>56146</v>
      </c>
    </row>
    <row r="386" spans="1:11" x14ac:dyDescent="0.25">
      <c r="A386" t="s">
        <v>15</v>
      </c>
      <c r="B386" t="s">
        <v>38</v>
      </c>
      <c r="C386" t="s">
        <v>20</v>
      </c>
      <c r="D386" t="s">
        <v>25</v>
      </c>
      <c r="E386">
        <v>12</v>
      </c>
      <c r="F386" t="s">
        <v>22</v>
      </c>
      <c r="G386" cm="1">
        <f t="array" ref="G386">_xlfn.SWITCH(LOWER(TRIM(F386)),
"enero",1,
"febrero",2,
"marzo",3,
"abril",4,
"mayo",5,
"junio",6,
"julio",7,
"agosto",8,
"septiembre",9,
"octubre",10,
"noviembre",11,
"diciembre",12)</f>
        <v>7</v>
      </c>
      <c r="H386">
        <v>1910412</v>
      </c>
      <c r="I386">
        <v>42</v>
      </c>
      <c r="J386">
        <v>342</v>
      </c>
      <c r="K386">
        <v>45486</v>
      </c>
    </row>
    <row r="387" spans="1:11" x14ac:dyDescent="0.25">
      <c r="A387" t="s">
        <v>15</v>
      </c>
      <c r="B387" t="s">
        <v>59</v>
      </c>
      <c r="C387" t="s">
        <v>12</v>
      </c>
      <c r="D387" t="s">
        <v>25</v>
      </c>
      <c r="E387">
        <v>18</v>
      </c>
      <c r="F387" t="s">
        <v>35</v>
      </c>
      <c r="G387" cm="1">
        <f t="array" ref="G387">_xlfn.SWITCH(LOWER(TRIM(F387)),
"enero",1,
"febrero",2,
"marzo",3,
"abril",4,
"mayo",5,
"junio",6,
"julio",7,
"agosto",8,
"septiembre",9,
"octubre",10,
"noviembre",11,
"diciembre",12)</f>
        <v>6</v>
      </c>
      <c r="H387">
        <v>8667728</v>
      </c>
      <c r="I387">
        <v>181</v>
      </c>
      <c r="J387">
        <v>499</v>
      </c>
      <c r="K387">
        <v>47888</v>
      </c>
    </row>
    <row r="388" spans="1:11" x14ac:dyDescent="0.25">
      <c r="A388" t="s">
        <v>37</v>
      </c>
      <c r="B388" t="s">
        <v>51</v>
      </c>
      <c r="C388" t="s">
        <v>24</v>
      </c>
      <c r="D388" t="s">
        <v>21</v>
      </c>
      <c r="E388">
        <v>36</v>
      </c>
      <c r="F388" t="s">
        <v>46</v>
      </c>
      <c r="G388" cm="1">
        <f t="array" ref="G388">_xlfn.SWITCH(LOWER(TRIM(F388)),
"enero",1,
"febrero",2,
"marzo",3,
"abril",4,
"mayo",5,
"junio",6,
"julio",7,
"agosto",8,
"septiembre",9,
"octubre",10,
"noviembre",11,
"diciembre",12)</f>
        <v>3</v>
      </c>
      <c r="H388">
        <v>5223450</v>
      </c>
      <c r="I388">
        <v>97</v>
      </c>
      <c r="J388">
        <v>364</v>
      </c>
      <c r="K388">
        <v>53850</v>
      </c>
    </row>
    <row r="389" spans="1:11" x14ac:dyDescent="0.25">
      <c r="A389" t="s">
        <v>18</v>
      </c>
      <c r="B389" t="s">
        <v>50</v>
      </c>
      <c r="C389" t="s">
        <v>20</v>
      </c>
      <c r="D389" t="s">
        <v>17</v>
      </c>
      <c r="E389">
        <v>41</v>
      </c>
      <c r="F389" t="s">
        <v>45</v>
      </c>
      <c r="G389" cm="1">
        <f t="array" ref="G389">_xlfn.SWITCH(LOWER(TRIM(F389)),
"enero",1,
"febrero",2,
"marzo",3,
"abril",4,
"mayo",5,
"junio",6,
"julio",7,
"agosto",8,
"septiembre",9,
"octubre",10,
"noviembre",11,
"diciembre",12)</f>
        <v>2</v>
      </c>
      <c r="H389">
        <v>8931420</v>
      </c>
      <c r="I389">
        <v>177</v>
      </c>
      <c r="J389">
        <v>197</v>
      </c>
      <c r="K389">
        <v>50460</v>
      </c>
    </row>
    <row r="390" spans="1:11" x14ac:dyDescent="0.25">
      <c r="A390" t="s">
        <v>37</v>
      </c>
      <c r="B390" t="s">
        <v>59</v>
      </c>
      <c r="C390" t="s">
        <v>12</v>
      </c>
      <c r="D390" t="s">
        <v>25</v>
      </c>
      <c r="E390">
        <v>18</v>
      </c>
      <c r="F390" t="s">
        <v>39</v>
      </c>
      <c r="G390" cm="1">
        <f t="array" ref="G390">_xlfn.SWITCH(LOWER(TRIM(F390)),
"enero",1,
"febrero",2,
"marzo",3,
"abril",4,
"mayo",5,
"junio",6,
"julio",7,
"agosto",8,
"septiembre",9,
"octubre",10,
"noviembre",11,
"diciembre",12)</f>
        <v>12</v>
      </c>
      <c r="H390">
        <v>5248902</v>
      </c>
      <c r="I390">
        <v>114</v>
      </c>
      <c r="J390">
        <v>652</v>
      </c>
      <c r="K390">
        <v>46043</v>
      </c>
    </row>
    <row r="391" spans="1:11" x14ac:dyDescent="0.25">
      <c r="A391" t="s">
        <v>37</v>
      </c>
      <c r="B391" t="s">
        <v>41</v>
      </c>
      <c r="C391" t="s">
        <v>42</v>
      </c>
      <c r="D391" t="s">
        <v>25</v>
      </c>
      <c r="E391">
        <v>16</v>
      </c>
      <c r="F391" t="s">
        <v>33</v>
      </c>
      <c r="G391" cm="1">
        <f t="array" ref="G391">_xlfn.SWITCH(LOWER(TRIM(F391)),
"enero",1,
"febrero",2,
"marzo",3,
"abril",4,
"mayo",5,
"junio",6,
"julio",7,
"agosto",8,
"septiembre",9,
"octubre",10,
"noviembre",11,
"diciembre",12)</f>
        <v>1</v>
      </c>
      <c r="H391">
        <v>7082400</v>
      </c>
      <c r="I391">
        <v>200</v>
      </c>
      <c r="J391">
        <v>278</v>
      </c>
      <c r="K391">
        <v>35412</v>
      </c>
    </row>
    <row r="392" spans="1:11" x14ac:dyDescent="0.25">
      <c r="A392" t="s">
        <v>37</v>
      </c>
      <c r="B392" t="s">
        <v>57</v>
      </c>
      <c r="C392" t="s">
        <v>42</v>
      </c>
      <c r="D392" t="s">
        <v>17</v>
      </c>
      <c r="E392">
        <v>24</v>
      </c>
      <c r="F392" t="s">
        <v>46</v>
      </c>
      <c r="G392" cm="1">
        <f t="array" ref="G392">_xlfn.SWITCH(LOWER(TRIM(F392)),
"enero",1,
"febrero",2,
"marzo",3,
"abril",4,
"mayo",5,
"junio",6,
"julio",7,
"agosto",8,
"septiembre",9,
"octubre",10,
"noviembre",11,
"diciembre",12)</f>
        <v>3</v>
      </c>
      <c r="H392">
        <v>3812536</v>
      </c>
      <c r="I392">
        <v>104</v>
      </c>
      <c r="J392">
        <v>732</v>
      </c>
      <c r="K392">
        <v>36659</v>
      </c>
    </row>
    <row r="393" spans="1:11" x14ac:dyDescent="0.25">
      <c r="A393" t="s">
        <v>37</v>
      </c>
      <c r="B393" t="s">
        <v>23</v>
      </c>
      <c r="C393" t="s">
        <v>24</v>
      </c>
      <c r="D393" t="s">
        <v>25</v>
      </c>
      <c r="E393">
        <v>11</v>
      </c>
      <c r="F393" t="s">
        <v>26</v>
      </c>
      <c r="G393" cm="1">
        <f t="array" ref="G393">_xlfn.SWITCH(LOWER(TRIM(F393)),
"enero",1,
"febrero",2,
"marzo",3,
"abril",4,
"mayo",5,
"junio",6,
"julio",7,
"agosto",8,
"septiembre",9,
"octubre",10,
"noviembre",11,
"diciembre",12)</f>
        <v>9</v>
      </c>
      <c r="H393">
        <v>5518988</v>
      </c>
      <c r="I393">
        <v>92</v>
      </c>
      <c r="J393">
        <v>696</v>
      </c>
      <c r="K393">
        <v>59989</v>
      </c>
    </row>
    <row r="394" spans="1:11" x14ac:dyDescent="0.25">
      <c r="A394" t="s">
        <v>31</v>
      </c>
      <c r="B394" t="s">
        <v>59</v>
      </c>
      <c r="C394" t="s">
        <v>12</v>
      </c>
      <c r="D394" t="s">
        <v>25</v>
      </c>
      <c r="E394">
        <v>32</v>
      </c>
      <c r="F394" t="s">
        <v>33</v>
      </c>
      <c r="G394" cm="1">
        <f t="array" ref="G394">_xlfn.SWITCH(LOWER(TRIM(F394)),
"enero",1,
"febrero",2,
"marzo",3,
"abril",4,
"mayo",5,
"junio",6,
"julio",7,
"agosto",8,
"septiembre",9,
"octubre",10,
"noviembre",11,
"diciembre",12)</f>
        <v>1</v>
      </c>
      <c r="H394">
        <v>7366537</v>
      </c>
      <c r="I394">
        <v>167</v>
      </c>
      <c r="J394">
        <v>416</v>
      </c>
      <c r="K394">
        <v>44111</v>
      </c>
    </row>
    <row r="395" spans="1:11" x14ac:dyDescent="0.25">
      <c r="A395" t="s">
        <v>31</v>
      </c>
      <c r="B395" t="s">
        <v>56</v>
      </c>
      <c r="C395" t="s">
        <v>24</v>
      </c>
      <c r="D395" t="s">
        <v>17</v>
      </c>
      <c r="E395">
        <v>23</v>
      </c>
      <c r="F395" t="s">
        <v>14</v>
      </c>
      <c r="G395" cm="1">
        <f t="array" ref="G395">_xlfn.SWITCH(LOWER(TRIM(F395)),
"enero",1,
"febrero",2,
"marzo",3,
"abril",4,
"mayo",5,
"junio",6,
"julio",7,
"agosto",8,
"septiembre",9,
"octubre",10,
"noviembre",11,
"diciembre",12)</f>
        <v>8</v>
      </c>
      <c r="H395">
        <v>2177516</v>
      </c>
      <c r="I395">
        <v>44</v>
      </c>
      <c r="J395">
        <v>367</v>
      </c>
      <c r="K395">
        <v>49489</v>
      </c>
    </row>
    <row r="396" spans="1:11" x14ac:dyDescent="0.25">
      <c r="A396" t="s">
        <v>15</v>
      </c>
      <c r="B396" t="s">
        <v>38</v>
      </c>
      <c r="C396" t="s">
        <v>20</v>
      </c>
      <c r="D396" t="s">
        <v>25</v>
      </c>
      <c r="E396">
        <v>18</v>
      </c>
      <c r="F396" t="s">
        <v>46</v>
      </c>
      <c r="G396" cm="1">
        <f t="array" ref="G396">_xlfn.SWITCH(LOWER(TRIM(F396)),
"enero",1,
"febrero",2,
"marzo",3,
"abril",4,
"mayo",5,
"junio",6,
"julio",7,
"agosto",8,
"septiembre",9,
"octubre",10,
"noviembre",11,
"diciembre",12)</f>
        <v>3</v>
      </c>
      <c r="H396">
        <v>7447484</v>
      </c>
      <c r="I396">
        <v>193</v>
      </c>
      <c r="J396">
        <v>371</v>
      </c>
      <c r="K396">
        <v>38588</v>
      </c>
    </row>
    <row r="397" spans="1:11" x14ac:dyDescent="0.25">
      <c r="A397" t="s">
        <v>18</v>
      </c>
      <c r="B397" t="s">
        <v>32</v>
      </c>
      <c r="C397" t="s">
        <v>28</v>
      </c>
      <c r="D397" t="s">
        <v>17</v>
      </c>
      <c r="E397">
        <v>47</v>
      </c>
      <c r="F397" t="s">
        <v>60</v>
      </c>
      <c r="G397" cm="1">
        <f t="array" ref="G397">_xlfn.SWITCH(LOWER(TRIM(F397)),
"enero",1,
"febrero",2,
"marzo",3,
"abril",4,
"mayo",5,
"junio",6,
"julio",7,
"agosto",8,
"septiembre",9,
"octubre",10,
"noviembre",11,
"diciembre",12)</f>
        <v>4</v>
      </c>
      <c r="H397">
        <v>6078311</v>
      </c>
      <c r="I397">
        <v>97</v>
      </c>
      <c r="J397">
        <v>170</v>
      </c>
      <c r="K397">
        <v>62663</v>
      </c>
    </row>
    <row r="398" spans="1:11" x14ac:dyDescent="0.25">
      <c r="A398" t="s">
        <v>37</v>
      </c>
      <c r="B398" t="s">
        <v>36</v>
      </c>
      <c r="C398" t="s">
        <v>20</v>
      </c>
      <c r="D398" t="s">
        <v>29</v>
      </c>
      <c r="E398">
        <v>51</v>
      </c>
      <c r="F398" t="s">
        <v>60</v>
      </c>
      <c r="G398" cm="1">
        <f t="array" ref="G398">_xlfn.SWITCH(LOWER(TRIM(F398)),
"enero",1,
"febrero",2,
"marzo",3,
"abril",4,
"mayo",5,
"junio",6,
"julio",7,
"agosto",8,
"septiembre",9,
"octubre",10,
"noviembre",11,
"diciembre",12)</f>
        <v>4</v>
      </c>
      <c r="H398">
        <v>3554820</v>
      </c>
      <c r="I398">
        <v>60</v>
      </c>
      <c r="J398">
        <v>237</v>
      </c>
      <c r="K398">
        <v>59247</v>
      </c>
    </row>
    <row r="399" spans="1:11" x14ac:dyDescent="0.25">
      <c r="A399" t="s">
        <v>10</v>
      </c>
      <c r="B399" t="s">
        <v>51</v>
      </c>
      <c r="C399" t="s">
        <v>24</v>
      </c>
      <c r="D399" t="s">
        <v>21</v>
      </c>
      <c r="E399">
        <v>19</v>
      </c>
      <c r="F399" t="s">
        <v>14</v>
      </c>
      <c r="G399" cm="1">
        <f t="array" ref="G399">_xlfn.SWITCH(LOWER(TRIM(F399)),
"enero",1,
"febrero",2,
"marzo",3,
"abril",4,
"mayo",5,
"junio",6,
"julio",7,
"agosto",8,
"septiembre",9,
"octubre",10,
"noviembre",11,
"diciembre",12)</f>
        <v>8</v>
      </c>
      <c r="H399">
        <v>7276800</v>
      </c>
      <c r="I399">
        <v>120</v>
      </c>
      <c r="J399">
        <v>282</v>
      </c>
      <c r="K399">
        <v>60640</v>
      </c>
    </row>
    <row r="400" spans="1:11" x14ac:dyDescent="0.25">
      <c r="A400" t="s">
        <v>15</v>
      </c>
      <c r="B400" t="s">
        <v>59</v>
      </c>
      <c r="C400" t="s">
        <v>12</v>
      </c>
      <c r="D400" t="s">
        <v>25</v>
      </c>
      <c r="E400">
        <v>18</v>
      </c>
      <c r="F400" t="s">
        <v>35</v>
      </c>
      <c r="G400" cm="1">
        <f t="array" ref="G400">_xlfn.SWITCH(LOWER(TRIM(F400)),
"enero",1,
"febrero",2,
"marzo",3,
"abril",4,
"mayo",5,
"junio",6,
"julio",7,
"agosto",8,
"septiembre",9,
"octubre",10,
"noviembre",11,
"diciembre",12)</f>
        <v>6</v>
      </c>
      <c r="H400">
        <v>7877870</v>
      </c>
      <c r="I400">
        <v>182</v>
      </c>
      <c r="J400">
        <v>340</v>
      </c>
      <c r="K400">
        <v>43285</v>
      </c>
    </row>
    <row r="401" spans="1:11" x14ac:dyDescent="0.25">
      <c r="A401" t="s">
        <v>31</v>
      </c>
      <c r="B401" t="s">
        <v>59</v>
      </c>
      <c r="C401" t="s">
        <v>12</v>
      </c>
      <c r="D401" t="s">
        <v>25</v>
      </c>
      <c r="E401">
        <v>13</v>
      </c>
      <c r="F401" t="s">
        <v>43</v>
      </c>
      <c r="G401" cm="1">
        <f t="array" ref="G401">_xlfn.SWITCH(LOWER(TRIM(F401)),
"enero",1,
"febrero",2,
"marzo",3,
"abril",4,
"mayo",5,
"junio",6,
"julio",7,
"agosto",8,
"septiembre",9,
"octubre",10,
"noviembre",11,
"diciembre",12)</f>
        <v>5</v>
      </c>
      <c r="H401">
        <v>6904800</v>
      </c>
      <c r="I401">
        <v>175</v>
      </c>
      <c r="J401">
        <v>503</v>
      </c>
      <c r="K401">
        <v>39456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7AD8-816C-4FB2-8B99-7DDA3FC68AD3}">
  <sheetPr codeName="Hoja2">
    <tabColor theme="8" tint="0.79998168889431442"/>
  </sheetPr>
  <dimension ref="A1:S77"/>
  <sheetViews>
    <sheetView tabSelected="1" zoomScale="90" zoomScaleNormal="90" workbookViewId="0">
      <selection activeCell="N46" sqref="N46"/>
    </sheetView>
  </sheetViews>
  <sheetFormatPr baseColWidth="10" defaultRowHeight="15" x14ac:dyDescent="0.25"/>
  <cols>
    <col min="2" max="2" width="18.28515625" bestFit="1" customWidth="1"/>
    <col min="7" max="7" width="12" bestFit="1" customWidth="1"/>
    <col min="8" max="8" width="14.140625" customWidth="1"/>
  </cols>
  <sheetData>
    <row r="1" spans="1:19" ht="15" customHeight="1" x14ac:dyDescent="0.25">
      <c r="A1" s="11" t="s">
        <v>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7"/>
      <c r="Q1" s="7"/>
      <c r="R1" s="7"/>
    </row>
    <row r="2" spans="1:19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7"/>
      <c r="Q2" s="7"/>
      <c r="R2" s="7"/>
    </row>
    <row r="3" spans="1:19" ht="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7"/>
      <c r="Q3" s="7"/>
      <c r="R3" s="7"/>
    </row>
    <row r="4" spans="1:19" ht="1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7"/>
      <c r="Q4" s="7"/>
      <c r="R4" s="7"/>
    </row>
    <row r="5" spans="1:19" ht="1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7"/>
      <c r="Q5" s="7"/>
      <c r="R5" s="7"/>
    </row>
    <row r="6" spans="1:1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9" x14ac:dyDescent="0.25">
      <c r="A7" s="4"/>
      <c r="B7" s="5">
        <f>GETPIVOTDATA("Venta_$",Pivot!$B$2)</f>
        <v>2331472196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9" x14ac:dyDescent="0.25">
      <c r="A8" s="4"/>
      <c r="B8" s="4"/>
      <c r="C8" s="4"/>
      <c r="D8" s="4">
        <f>GETPIVOTDATA("Venta_Und",Pivot!$B$5)</f>
        <v>45863</v>
      </c>
      <c r="E8" s="4"/>
      <c r="F8" s="4"/>
      <c r="G8" s="4"/>
      <c r="H8" s="5">
        <f>GETPIVOTDATA("Precio_promedio_por_unidad",Pivot!$B$8)</f>
        <v>50713.762499999997</v>
      </c>
      <c r="I8" s="4"/>
      <c r="J8" s="4"/>
      <c r="K8" s="4">
        <f>GETPIVOTDATA("Inventario",Pivot!$B$11)</f>
        <v>175738</v>
      </c>
      <c r="L8" s="4"/>
      <c r="M8" s="4"/>
      <c r="N8" s="4"/>
      <c r="O8" s="4"/>
      <c r="P8" s="4"/>
      <c r="Q8" s="4"/>
      <c r="R8" s="4"/>
    </row>
    <row r="9" spans="1:1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t="s">
        <v>70</v>
      </c>
    </row>
    <row r="15" spans="1:1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9"/>
      <c r="Q32" s="4"/>
      <c r="R32" s="4"/>
    </row>
    <row r="33" spans="1:1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</sheetData>
  <mergeCells count="1">
    <mergeCell ref="A1:O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1922-5C2E-470E-9CE8-E0EEB5921BAC}">
  <sheetPr codeName="Hoja3">
    <tabColor theme="9" tint="0.79998168889431442"/>
  </sheetPr>
  <dimension ref="B2:N65"/>
  <sheetViews>
    <sheetView topLeftCell="D37" workbookViewId="0">
      <selection activeCell="U22" sqref="U22"/>
    </sheetView>
  </sheetViews>
  <sheetFormatPr baseColWidth="10" defaultRowHeight="15" x14ac:dyDescent="0.25"/>
  <cols>
    <col min="2" max="2" width="40" bestFit="1" customWidth="1"/>
    <col min="3" max="3" width="16.42578125" bestFit="1" customWidth="1"/>
    <col min="4" max="4" width="19.85546875" bestFit="1" customWidth="1"/>
    <col min="5" max="6" width="16.42578125" bestFit="1" customWidth="1"/>
    <col min="7" max="7" width="16.42578125" customWidth="1"/>
    <col min="8" max="8" width="17.5703125" bestFit="1" customWidth="1"/>
    <col min="9" max="9" width="16.42578125" bestFit="1" customWidth="1"/>
    <col min="10" max="10" width="19.140625" bestFit="1" customWidth="1"/>
    <col min="11" max="11" width="16.42578125" bestFit="1" customWidth="1"/>
    <col min="12" max="12" width="22.42578125" bestFit="1" customWidth="1"/>
    <col min="13" max="13" width="18.28515625" bestFit="1" customWidth="1"/>
  </cols>
  <sheetData>
    <row r="2" spans="2:10" x14ac:dyDescent="0.25">
      <c r="B2" t="s">
        <v>65</v>
      </c>
      <c r="D2" s="1" t="s">
        <v>63</v>
      </c>
      <c r="E2" t="s">
        <v>65</v>
      </c>
      <c r="H2" s="1" t="s">
        <v>63</v>
      </c>
      <c r="I2" t="s">
        <v>65</v>
      </c>
      <c r="J2" t="s">
        <v>66</v>
      </c>
    </row>
    <row r="3" spans="2:10" x14ac:dyDescent="0.25">
      <c r="B3" s="3">
        <v>2331472196</v>
      </c>
      <c r="D3" s="2" t="s">
        <v>31</v>
      </c>
      <c r="E3">
        <v>448514880</v>
      </c>
      <c r="H3" s="2" t="s">
        <v>33</v>
      </c>
      <c r="I3">
        <v>179133142</v>
      </c>
      <c r="J3">
        <v>3504</v>
      </c>
    </row>
    <row r="4" spans="2:10" x14ac:dyDescent="0.25">
      <c r="D4" s="2" t="s">
        <v>15</v>
      </c>
      <c r="E4">
        <v>460302949</v>
      </c>
      <c r="H4" s="2" t="s">
        <v>45</v>
      </c>
      <c r="I4">
        <v>128594582</v>
      </c>
      <c r="J4">
        <v>2569</v>
      </c>
    </row>
    <row r="5" spans="2:10" x14ac:dyDescent="0.25">
      <c r="B5" t="s">
        <v>66</v>
      </c>
      <c r="D5" s="2" t="s">
        <v>18</v>
      </c>
      <c r="E5">
        <v>462934829</v>
      </c>
      <c r="H5" s="2" t="s">
        <v>46</v>
      </c>
      <c r="I5">
        <v>164584314</v>
      </c>
      <c r="J5">
        <v>3356</v>
      </c>
    </row>
    <row r="6" spans="2:10" x14ac:dyDescent="0.25">
      <c r="B6">
        <v>45863</v>
      </c>
      <c r="D6" s="2" t="s">
        <v>10</v>
      </c>
      <c r="E6">
        <v>391568055</v>
      </c>
      <c r="H6" s="2" t="s">
        <v>60</v>
      </c>
      <c r="I6">
        <v>203739117</v>
      </c>
      <c r="J6">
        <v>4001</v>
      </c>
    </row>
    <row r="7" spans="2:10" x14ac:dyDescent="0.25">
      <c r="D7" s="2" t="s">
        <v>37</v>
      </c>
      <c r="E7">
        <v>568151483</v>
      </c>
      <c r="H7" s="2" t="s">
        <v>43</v>
      </c>
      <c r="I7">
        <v>225719181</v>
      </c>
      <c r="J7">
        <v>4244</v>
      </c>
    </row>
    <row r="8" spans="2:10" x14ac:dyDescent="0.25">
      <c r="B8" t="s">
        <v>67</v>
      </c>
      <c r="D8" s="2" t="s">
        <v>64</v>
      </c>
      <c r="E8">
        <v>2331472196</v>
      </c>
      <c r="H8" s="2" t="s">
        <v>35</v>
      </c>
      <c r="I8">
        <v>265074558</v>
      </c>
      <c r="J8">
        <v>5210</v>
      </c>
    </row>
    <row r="9" spans="2:10" x14ac:dyDescent="0.25">
      <c r="B9">
        <v>50713.762499999997</v>
      </c>
      <c r="H9" s="2" t="s">
        <v>22</v>
      </c>
      <c r="I9">
        <v>176604570</v>
      </c>
      <c r="J9">
        <v>3713</v>
      </c>
    </row>
    <row r="10" spans="2:10" x14ac:dyDescent="0.25">
      <c r="H10" s="2" t="s">
        <v>14</v>
      </c>
      <c r="I10">
        <v>183482817</v>
      </c>
      <c r="J10">
        <v>3656</v>
      </c>
    </row>
    <row r="11" spans="2:10" x14ac:dyDescent="0.25">
      <c r="B11" t="s">
        <v>68</v>
      </c>
      <c r="H11" s="2" t="s">
        <v>26</v>
      </c>
      <c r="I11">
        <v>174544533</v>
      </c>
      <c r="J11">
        <v>3379</v>
      </c>
    </row>
    <row r="12" spans="2:10" x14ac:dyDescent="0.25">
      <c r="B12">
        <v>175738</v>
      </c>
      <c r="E12" s="1" t="s">
        <v>63</v>
      </c>
      <c r="F12" t="s">
        <v>65</v>
      </c>
      <c r="H12" s="2" t="s">
        <v>30</v>
      </c>
      <c r="I12">
        <v>225809748</v>
      </c>
      <c r="J12">
        <v>4365</v>
      </c>
    </row>
    <row r="13" spans="2:10" x14ac:dyDescent="0.25">
      <c r="E13" s="2">
        <v>1</v>
      </c>
      <c r="F13">
        <v>81906996</v>
      </c>
      <c r="H13" s="2" t="s">
        <v>49</v>
      </c>
      <c r="I13">
        <v>195208381</v>
      </c>
      <c r="J13">
        <v>3799</v>
      </c>
    </row>
    <row r="14" spans="2:10" x14ac:dyDescent="0.25">
      <c r="B14" s="1" t="s">
        <v>63</v>
      </c>
      <c r="C14" t="s">
        <v>65</v>
      </c>
      <c r="E14" s="2">
        <v>2</v>
      </c>
      <c r="F14">
        <v>49812651</v>
      </c>
      <c r="H14" s="2" t="s">
        <v>39</v>
      </c>
      <c r="I14">
        <v>208977253</v>
      </c>
      <c r="J14">
        <v>4067</v>
      </c>
    </row>
    <row r="15" spans="2:10" x14ac:dyDescent="0.25">
      <c r="B15" s="2" t="s">
        <v>33</v>
      </c>
      <c r="C15">
        <v>179133142</v>
      </c>
      <c r="E15" s="2">
        <v>3</v>
      </c>
      <c r="F15">
        <v>13530244</v>
      </c>
      <c r="H15" s="2" t="s">
        <v>64</v>
      </c>
      <c r="I15">
        <v>2331472196</v>
      </c>
      <c r="J15">
        <v>45863</v>
      </c>
    </row>
    <row r="16" spans="2:10" x14ac:dyDescent="0.25">
      <c r="B16" s="2" t="s">
        <v>45</v>
      </c>
      <c r="C16">
        <v>128594582</v>
      </c>
      <c r="E16" s="2">
        <v>4</v>
      </c>
      <c r="F16">
        <v>60172162</v>
      </c>
    </row>
    <row r="17" spans="2:9" x14ac:dyDescent="0.25">
      <c r="B17" s="2" t="s">
        <v>46</v>
      </c>
      <c r="C17">
        <v>164584314</v>
      </c>
      <c r="E17" s="2">
        <v>5</v>
      </c>
      <c r="F17">
        <v>33261926</v>
      </c>
      <c r="H17" s="1" t="s">
        <v>63</v>
      </c>
      <c r="I17" t="s">
        <v>65</v>
      </c>
    </row>
    <row r="18" spans="2:9" x14ac:dyDescent="0.25">
      <c r="B18" s="2" t="s">
        <v>60</v>
      </c>
      <c r="C18">
        <v>203739117</v>
      </c>
      <c r="E18" s="2">
        <v>6</v>
      </c>
      <c r="F18">
        <v>63953760</v>
      </c>
      <c r="H18" s="2" t="s">
        <v>32</v>
      </c>
      <c r="I18">
        <v>154025687</v>
      </c>
    </row>
    <row r="19" spans="2:9" x14ac:dyDescent="0.25">
      <c r="B19" s="2" t="s">
        <v>43</v>
      </c>
      <c r="C19">
        <v>225719181</v>
      </c>
      <c r="E19" s="2">
        <v>7</v>
      </c>
      <c r="F19">
        <v>20794332</v>
      </c>
      <c r="H19" s="2" t="s">
        <v>38</v>
      </c>
      <c r="I19">
        <v>149373252</v>
      </c>
    </row>
    <row r="20" spans="2:9" x14ac:dyDescent="0.25">
      <c r="B20" s="2" t="s">
        <v>35</v>
      </c>
      <c r="C20">
        <v>265074558</v>
      </c>
      <c r="E20" s="2">
        <v>8</v>
      </c>
      <c r="F20">
        <v>28739549</v>
      </c>
      <c r="H20" s="2" t="s">
        <v>34</v>
      </c>
      <c r="I20">
        <v>119408294</v>
      </c>
    </row>
    <row r="21" spans="2:9" x14ac:dyDescent="0.25">
      <c r="B21" s="2" t="s">
        <v>22</v>
      </c>
      <c r="C21">
        <v>176604570</v>
      </c>
      <c r="E21" s="2">
        <v>9</v>
      </c>
      <c r="F21">
        <v>63143442</v>
      </c>
      <c r="H21" s="2" t="s">
        <v>58</v>
      </c>
      <c r="I21">
        <v>115344066</v>
      </c>
    </row>
    <row r="22" spans="2:9" x14ac:dyDescent="0.25">
      <c r="B22" s="2" t="s">
        <v>14</v>
      </c>
      <c r="C22">
        <v>183482817</v>
      </c>
      <c r="E22" s="2">
        <v>10</v>
      </c>
      <c r="F22">
        <v>30806050</v>
      </c>
      <c r="H22" s="2" t="s">
        <v>27</v>
      </c>
      <c r="I22">
        <v>114349183</v>
      </c>
    </row>
    <row r="23" spans="2:9" x14ac:dyDescent="0.25">
      <c r="B23" s="2" t="s">
        <v>26</v>
      </c>
      <c r="C23">
        <v>174544533</v>
      </c>
      <c r="E23" s="2">
        <v>11</v>
      </c>
      <c r="F23">
        <v>45174218</v>
      </c>
      <c r="H23" s="2" t="s">
        <v>48</v>
      </c>
      <c r="I23">
        <v>112561886</v>
      </c>
    </row>
    <row r="24" spans="2:9" x14ac:dyDescent="0.25">
      <c r="B24" s="2" t="s">
        <v>30</v>
      </c>
      <c r="C24">
        <v>225809748</v>
      </c>
      <c r="E24" s="2">
        <v>12</v>
      </c>
      <c r="F24">
        <v>50610666</v>
      </c>
      <c r="H24" s="2" t="s">
        <v>59</v>
      </c>
      <c r="I24">
        <v>110055566</v>
      </c>
    </row>
    <row r="25" spans="2:9" x14ac:dyDescent="0.25">
      <c r="B25" s="2" t="s">
        <v>49</v>
      </c>
      <c r="C25">
        <v>195208381</v>
      </c>
      <c r="E25" s="2">
        <v>13</v>
      </c>
      <c r="F25">
        <v>30872002</v>
      </c>
      <c r="H25" s="2" t="s">
        <v>40</v>
      </c>
      <c r="I25">
        <v>105782608</v>
      </c>
    </row>
    <row r="26" spans="2:9" x14ac:dyDescent="0.25">
      <c r="B26" s="2" t="s">
        <v>39</v>
      </c>
      <c r="C26">
        <v>208977253</v>
      </c>
      <c r="E26" s="2">
        <v>14</v>
      </c>
      <c r="F26">
        <v>58249405</v>
      </c>
      <c r="H26" s="2" t="s">
        <v>41</v>
      </c>
      <c r="I26">
        <v>104616114</v>
      </c>
    </row>
    <row r="27" spans="2:9" x14ac:dyDescent="0.25">
      <c r="B27" s="2" t="s">
        <v>64</v>
      </c>
      <c r="C27">
        <v>2331472196</v>
      </c>
      <c r="E27" s="2">
        <v>15</v>
      </c>
      <c r="F27">
        <v>52692305</v>
      </c>
      <c r="H27" s="2" t="s">
        <v>51</v>
      </c>
      <c r="I27">
        <v>95559048</v>
      </c>
    </row>
    <row r="28" spans="2:9" x14ac:dyDescent="0.25">
      <c r="E28" s="2">
        <v>16</v>
      </c>
      <c r="F28">
        <v>67275677</v>
      </c>
      <c r="H28" s="2" t="s">
        <v>64</v>
      </c>
      <c r="I28">
        <v>1181075704</v>
      </c>
    </row>
    <row r="29" spans="2:9" x14ac:dyDescent="0.25">
      <c r="E29" s="2">
        <v>17</v>
      </c>
      <c r="F29">
        <v>23724238</v>
      </c>
    </row>
    <row r="30" spans="2:9" x14ac:dyDescent="0.25">
      <c r="E30" s="2">
        <v>18</v>
      </c>
      <c r="F30">
        <v>50403718</v>
      </c>
      <c r="H30" s="1" t="s">
        <v>63</v>
      </c>
      <c r="I30" t="s">
        <v>65</v>
      </c>
    </row>
    <row r="31" spans="2:9" x14ac:dyDescent="0.25">
      <c r="E31" s="2">
        <v>19</v>
      </c>
      <c r="F31">
        <v>69773287</v>
      </c>
      <c r="H31" s="2" t="s">
        <v>42</v>
      </c>
      <c r="I31" s="8">
        <v>0.18228663920125085</v>
      </c>
    </row>
    <row r="32" spans="2:9" x14ac:dyDescent="0.25">
      <c r="E32" s="2">
        <v>20</v>
      </c>
      <c r="F32">
        <v>42924904</v>
      </c>
      <c r="H32" s="2" t="s">
        <v>20</v>
      </c>
      <c r="I32" s="8">
        <v>0.20984866465034183</v>
      </c>
    </row>
    <row r="33" spans="5:14" x14ac:dyDescent="0.25">
      <c r="E33" s="2">
        <v>21</v>
      </c>
      <c r="F33">
        <v>47972321</v>
      </c>
      <c r="H33" s="2" t="s">
        <v>28</v>
      </c>
      <c r="I33" s="8">
        <v>0.2270861556523576</v>
      </c>
    </row>
    <row r="34" spans="5:14" x14ac:dyDescent="0.25">
      <c r="E34" s="2">
        <v>22</v>
      </c>
      <c r="F34">
        <v>37432669</v>
      </c>
      <c r="H34" s="2" t="s">
        <v>12</v>
      </c>
      <c r="I34" s="8">
        <v>0.21743745941716561</v>
      </c>
    </row>
    <row r="35" spans="5:14" x14ac:dyDescent="0.25">
      <c r="E35" s="2">
        <v>23</v>
      </c>
      <c r="F35">
        <v>31095029</v>
      </c>
      <c r="H35" s="2" t="s">
        <v>24</v>
      </c>
      <c r="I35" s="8">
        <v>0.16334108107888412</v>
      </c>
    </row>
    <row r="36" spans="5:14" x14ac:dyDescent="0.25">
      <c r="E36" s="2">
        <v>24</v>
      </c>
      <c r="F36">
        <v>47616171</v>
      </c>
      <c r="H36" s="2" t="s">
        <v>64</v>
      </c>
      <c r="I36" s="8">
        <v>1</v>
      </c>
    </row>
    <row r="37" spans="5:14" x14ac:dyDescent="0.25">
      <c r="E37" s="2">
        <v>25</v>
      </c>
      <c r="F37">
        <v>47958128</v>
      </c>
      <c r="M37" s="9"/>
    </row>
    <row r="38" spans="5:14" x14ac:dyDescent="0.25">
      <c r="E38" s="2">
        <v>26</v>
      </c>
      <c r="F38">
        <v>63060050</v>
      </c>
      <c r="H38" s="1" t="s">
        <v>63</v>
      </c>
      <c r="I38" t="s">
        <v>68</v>
      </c>
      <c r="J38" t="s">
        <v>65</v>
      </c>
      <c r="L38" t="s">
        <v>63</v>
      </c>
      <c r="M38" s="10" t="s">
        <v>68</v>
      </c>
      <c r="N38" t="s">
        <v>65</v>
      </c>
    </row>
    <row r="39" spans="5:14" x14ac:dyDescent="0.25">
      <c r="E39" s="2">
        <v>27</v>
      </c>
      <c r="F39">
        <v>63709379</v>
      </c>
      <c r="H39" s="2" t="s">
        <v>44</v>
      </c>
      <c r="I39">
        <v>7374</v>
      </c>
      <c r="J39">
        <v>74096401</v>
      </c>
      <c r="L39" t="s">
        <v>44</v>
      </c>
      <c r="M39" s="10">
        <v>7374</v>
      </c>
      <c r="N39">
        <v>74096401</v>
      </c>
    </row>
    <row r="40" spans="5:14" x14ac:dyDescent="0.25">
      <c r="E40" s="2">
        <v>28</v>
      </c>
      <c r="F40">
        <v>40495166</v>
      </c>
      <c r="H40" s="2" t="s">
        <v>47</v>
      </c>
      <c r="I40">
        <v>6790</v>
      </c>
      <c r="J40">
        <v>90948403</v>
      </c>
      <c r="L40" t="s">
        <v>47</v>
      </c>
      <c r="M40" s="10">
        <v>6790</v>
      </c>
      <c r="N40">
        <v>90948403</v>
      </c>
    </row>
    <row r="41" spans="5:14" x14ac:dyDescent="0.25">
      <c r="E41" s="2">
        <v>29</v>
      </c>
      <c r="F41">
        <v>27094024</v>
      </c>
      <c r="H41" s="2" t="s">
        <v>57</v>
      </c>
      <c r="I41">
        <v>7723</v>
      </c>
      <c r="J41">
        <v>91511332</v>
      </c>
      <c r="L41" t="s">
        <v>57</v>
      </c>
      <c r="M41" s="10">
        <v>7723</v>
      </c>
      <c r="N41">
        <v>91511332</v>
      </c>
    </row>
    <row r="42" spans="5:14" x14ac:dyDescent="0.25">
      <c r="E42" s="2">
        <v>30</v>
      </c>
      <c r="F42">
        <v>26196121</v>
      </c>
      <c r="H42" s="2" t="s">
        <v>55</v>
      </c>
      <c r="I42">
        <v>4410</v>
      </c>
      <c r="J42">
        <v>63823981</v>
      </c>
      <c r="L42" t="s">
        <v>55</v>
      </c>
      <c r="M42" s="9">
        <v>4410</v>
      </c>
      <c r="N42">
        <v>63823981</v>
      </c>
    </row>
    <row r="43" spans="5:14" x14ac:dyDescent="0.25">
      <c r="E43" s="2">
        <v>31</v>
      </c>
      <c r="F43">
        <v>49304414</v>
      </c>
      <c r="H43" s="2" t="s">
        <v>41</v>
      </c>
      <c r="I43">
        <v>7004</v>
      </c>
      <c r="J43">
        <v>104616114</v>
      </c>
      <c r="L43" t="s">
        <v>41</v>
      </c>
      <c r="M43" s="9">
        <v>7004</v>
      </c>
      <c r="N43">
        <v>104616114</v>
      </c>
    </row>
    <row r="44" spans="5:14" x14ac:dyDescent="0.25">
      <c r="E44" s="2">
        <v>32</v>
      </c>
      <c r="F44">
        <v>31020981</v>
      </c>
      <c r="H44" s="2" t="s">
        <v>48</v>
      </c>
      <c r="I44">
        <v>9223</v>
      </c>
      <c r="J44">
        <v>112561886</v>
      </c>
      <c r="L44" t="s">
        <v>48</v>
      </c>
      <c r="M44" s="9">
        <v>9223</v>
      </c>
      <c r="N44">
        <v>112561886</v>
      </c>
    </row>
    <row r="45" spans="5:14" x14ac:dyDescent="0.25">
      <c r="E45" s="2">
        <v>33</v>
      </c>
      <c r="F45">
        <v>32433980</v>
      </c>
      <c r="H45" s="2" t="s">
        <v>36</v>
      </c>
      <c r="I45">
        <v>7450</v>
      </c>
      <c r="J45">
        <v>81903596</v>
      </c>
      <c r="L45" t="s">
        <v>36</v>
      </c>
      <c r="M45">
        <v>7450</v>
      </c>
      <c r="N45">
        <v>81903596</v>
      </c>
    </row>
    <row r="46" spans="5:14" x14ac:dyDescent="0.25">
      <c r="E46" s="2">
        <v>34</v>
      </c>
      <c r="F46">
        <v>41123242</v>
      </c>
      <c r="H46" s="2" t="s">
        <v>50</v>
      </c>
      <c r="I46">
        <v>6673</v>
      </c>
      <c r="J46">
        <v>75789381</v>
      </c>
      <c r="L46" t="s">
        <v>50</v>
      </c>
      <c r="M46">
        <v>6673</v>
      </c>
      <c r="N46">
        <v>75789381</v>
      </c>
    </row>
    <row r="47" spans="5:14" x14ac:dyDescent="0.25">
      <c r="E47" s="2">
        <v>35</v>
      </c>
      <c r="F47">
        <v>50457712</v>
      </c>
      <c r="H47" s="2" t="s">
        <v>19</v>
      </c>
      <c r="I47">
        <v>5614</v>
      </c>
      <c r="J47">
        <v>69628212</v>
      </c>
      <c r="L47" t="s">
        <v>19</v>
      </c>
      <c r="M47">
        <v>5614</v>
      </c>
      <c r="N47">
        <v>69628212</v>
      </c>
    </row>
    <row r="48" spans="5:14" x14ac:dyDescent="0.25">
      <c r="E48" s="2">
        <v>36</v>
      </c>
      <c r="F48">
        <v>49795878</v>
      </c>
      <c r="H48" s="2" t="s">
        <v>38</v>
      </c>
      <c r="I48">
        <v>12140</v>
      </c>
      <c r="J48">
        <v>149373252</v>
      </c>
      <c r="L48" t="s">
        <v>38</v>
      </c>
      <c r="M48">
        <v>12140</v>
      </c>
      <c r="N48">
        <v>149373252</v>
      </c>
    </row>
    <row r="49" spans="5:14" x14ac:dyDescent="0.25">
      <c r="E49" s="2">
        <v>37</v>
      </c>
      <c r="F49">
        <v>48310339</v>
      </c>
      <c r="H49" s="2" t="s">
        <v>34</v>
      </c>
      <c r="I49">
        <v>7138</v>
      </c>
      <c r="J49">
        <v>119408294</v>
      </c>
      <c r="L49" t="s">
        <v>34</v>
      </c>
      <c r="M49">
        <v>7138</v>
      </c>
      <c r="N49">
        <v>119408294</v>
      </c>
    </row>
    <row r="50" spans="5:14" x14ac:dyDescent="0.25">
      <c r="E50" s="2">
        <v>38</v>
      </c>
      <c r="F50">
        <v>29414335</v>
      </c>
      <c r="H50" s="2" t="s">
        <v>27</v>
      </c>
      <c r="I50">
        <v>8459</v>
      </c>
      <c r="J50">
        <v>114349183</v>
      </c>
      <c r="L50" t="s">
        <v>27</v>
      </c>
      <c r="M50">
        <v>8459</v>
      </c>
      <c r="N50">
        <v>114349183</v>
      </c>
    </row>
    <row r="51" spans="5:14" x14ac:dyDescent="0.25">
      <c r="E51" s="2">
        <v>39</v>
      </c>
      <c r="F51">
        <v>30183427</v>
      </c>
      <c r="H51" s="2" t="s">
        <v>32</v>
      </c>
      <c r="I51">
        <v>10509</v>
      </c>
      <c r="J51">
        <v>154025687</v>
      </c>
      <c r="L51" t="s">
        <v>32</v>
      </c>
      <c r="M51">
        <v>10509</v>
      </c>
      <c r="N51">
        <v>154025687</v>
      </c>
    </row>
    <row r="52" spans="5:14" x14ac:dyDescent="0.25">
      <c r="E52" s="2">
        <v>40</v>
      </c>
      <c r="F52">
        <v>30565642</v>
      </c>
      <c r="H52" s="2" t="s">
        <v>54</v>
      </c>
      <c r="I52">
        <v>4840</v>
      </c>
      <c r="J52">
        <v>70848028</v>
      </c>
      <c r="L52" t="s">
        <v>54</v>
      </c>
      <c r="M52">
        <v>4840</v>
      </c>
      <c r="N52">
        <v>70848028</v>
      </c>
    </row>
    <row r="53" spans="5:14" x14ac:dyDescent="0.25">
      <c r="E53" s="2">
        <v>41</v>
      </c>
      <c r="F53">
        <v>36951945</v>
      </c>
      <c r="H53" s="2" t="s">
        <v>61</v>
      </c>
      <c r="I53">
        <v>4505</v>
      </c>
      <c r="J53">
        <v>70813866</v>
      </c>
      <c r="L53" t="s">
        <v>61</v>
      </c>
      <c r="M53">
        <v>4505</v>
      </c>
      <c r="N53">
        <v>70813866</v>
      </c>
    </row>
    <row r="54" spans="5:14" x14ac:dyDescent="0.25">
      <c r="E54" s="2">
        <v>42</v>
      </c>
      <c r="F54">
        <v>53126528</v>
      </c>
      <c r="H54" s="2" t="s">
        <v>11</v>
      </c>
      <c r="I54">
        <v>5513</v>
      </c>
      <c r="J54">
        <v>82319616</v>
      </c>
      <c r="L54" t="s">
        <v>11</v>
      </c>
      <c r="M54">
        <v>5513</v>
      </c>
      <c r="N54">
        <v>82319616</v>
      </c>
    </row>
    <row r="55" spans="5:14" x14ac:dyDescent="0.25">
      <c r="E55" s="2">
        <v>43</v>
      </c>
      <c r="F55">
        <v>71957442</v>
      </c>
      <c r="H55" s="2" t="s">
        <v>40</v>
      </c>
      <c r="I55">
        <v>6823</v>
      </c>
      <c r="J55">
        <v>105782608</v>
      </c>
      <c r="L55" t="s">
        <v>40</v>
      </c>
      <c r="M55">
        <v>6823</v>
      </c>
      <c r="N55">
        <v>105782608</v>
      </c>
    </row>
    <row r="56" spans="5:14" x14ac:dyDescent="0.25">
      <c r="E56" s="2">
        <v>44</v>
      </c>
      <c r="F56">
        <v>53355702</v>
      </c>
      <c r="H56" s="2" t="s">
        <v>16</v>
      </c>
      <c r="I56">
        <v>7159</v>
      </c>
      <c r="J56">
        <v>93447535</v>
      </c>
      <c r="L56" t="s">
        <v>16</v>
      </c>
      <c r="M56">
        <v>7159</v>
      </c>
      <c r="N56">
        <v>93447535</v>
      </c>
    </row>
    <row r="57" spans="5:14" x14ac:dyDescent="0.25">
      <c r="E57" s="2">
        <v>45</v>
      </c>
      <c r="F57">
        <v>35443445</v>
      </c>
      <c r="H57" s="2" t="s">
        <v>58</v>
      </c>
      <c r="I57">
        <v>9276</v>
      </c>
      <c r="J57">
        <v>115344066</v>
      </c>
      <c r="L57" t="s">
        <v>58</v>
      </c>
      <c r="M57">
        <v>9276</v>
      </c>
      <c r="N57">
        <v>115344066</v>
      </c>
    </row>
    <row r="58" spans="5:14" x14ac:dyDescent="0.25">
      <c r="E58" s="2">
        <v>46</v>
      </c>
      <c r="F58">
        <v>79795183</v>
      </c>
      <c r="H58" s="2" t="s">
        <v>59</v>
      </c>
      <c r="I58">
        <v>9917</v>
      </c>
      <c r="J58">
        <v>110055566</v>
      </c>
      <c r="L58" t="s">
        <v>59</v>
      </c>
      <c r="M58">
        <v>9917</v>
      </c>
      <c r="N58">
        <v>110055566</v>
      </c>
    </row>
    <row r="59" spans="5:14" x14ac:dyDescent="0.25">
      <c r="E59" s="2">
        <v>47</v>
      </c>
      <c r="F59">
        <v>52367308</v>
      </c>
      <c r="H59" s="2" t="s">
        <v>52</v>
      </c>
      <c r="I59">
        <v>3810</v>
      </c>
      <c r="J59">
        <v>71643948</v>
      </c>
      <c r="L59" t="s">
        <v>52</v>
      </c>
      <c r="M59">
        <v>3810</v>
      </c>
      <c r="N59">
        <v>71643948</v>
      </c>
    </row>
    <row r="60" spans="5:14" x14ac:dyDescent="0.25">
      <c r="E60" s="2">
        <v>48</v>
      </c>
      <c r="F60">
        <v>48767132</v>
      </c>
      <c r="H60" s="2" t="s">
        <v>53</v>
      </c>
      <c r="I60">
        <v>6967</v>
      </c>
      <c r="J60">
        <v>83999733</v>
      </c>
      <c r="L60" t="s">
        <v>53</v>
      </c>
      <c r="M60">
        <v>6967</v>
      </c>
      <c r="N60">
        <v>83999733</v>
      </c>
    </row>
    <row r="61" spans="5:14" x14ac:dyDescent="0.25">
      <c r="E61" s="2">
        <v>49</v>
      </c>
      <c r="F61">
        <v>38447542</v>
      </c>
      <c r="H61" s="2" t="s">
        <v>56</v>
      </c>
      <c r="I61">
        <v>6046</v>
      </c>
      <c r="J61">
        <v>63918125</v>
      </c>
      <c r="L61" t="s">
        <v>56</v>
      </c>
      <c r="M61">
        <v>6046</v>
      </c>
      <c r="N61">
        <v>63918125</v>
      </c>
    </row>
    <row r="62" spans="5:14" x14ac:dyDescent="0.25">
      <c r="E62" s="2">
        <v>50</v>
      </c>
      <c r="F62">
        <v>29537447</v>
      </c>
      <c r="H62" s="2" t="s">
        <v>51</v>
      </c>
      <c r="I62">
        <v>4211</v>
      </c>
      <c r="J62">
        <v>95559048</v>
      </c>
      <c r="L62" t="s">
        <v>51</v>
      </c>
      <c r="M62">
        <v>4211</v>
      </c>
      <c r="N62">
        <v>95559048</v>
      </c>
    </row>
    <row r="63" spans="5:14" x14ac:dyDescent="0.25">
      <c r="E63" s="2">
        <v>51</v>
      </c>
      <c r="F63">
        <v>23104417</v>
      </c>
      <c r="H63" s="2" t="s">
        <v>23</v>
      </c>
      <c r="I63">
        <v>6164</v>
      </c>
      <c r="J63">
        <v>65704335</v>
      </c>
      <c r="L63" t="s">
        <v>23</v>
      </c>
      <c r="M63">
        <v>6164</v>
      </c>
      <c r="N63">
        <v>65704335</v>
      </c>
    </row>
    <row r="64" spans="5:14" x14ac:dyDescent="0.25">
      <c r="E64" s="2">
        <v>52</v>
      </c>
      <c r="F64">
        <v>45557565</v>
      </c>
      <c r="H64" s="2" t="s">
        <v>64</v>
      </c>
      <c r="I64">
        <v>175738</v>
      </c>
      <c r="J64">
        <v>2331472196</v>
      </c>
    </row>
    <row r="65" spans="5:6" x14ac:dyDescent="0.25">
      <c r="E65" s="2" t="s">
        <v>64</v>
      </c>
      <c r="F65">
        <v>2331472196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SalesData</vt:lpstr>
      <vt:lpstr>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Sanabria</cp:lastModifiedBy>
  <dcterms:created xsi:type="dcterms:W3CDTF">2026-02-04T21:16:52Z</dcterms:created>
  <dcterms:modified xsi:type="dcterms:W3CDTF">2026-02-06T15:44:15Z</dcterms:modified>
</cp:coreProperties>
</file>